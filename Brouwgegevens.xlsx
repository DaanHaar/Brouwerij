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anv\Brewery\"/>
    </mc:Choice>
  </mc:AlternateContent>
  <xr:revisionPtr revIDLastSave="0" documentId="13_ncr:1_{EF3BEF9C-B69A-4078-A6A1-E9B3C9B89FC3}" xr6:coauthVersionLast="47" xr6:coauthVersionMax="47" xr10:uidLastSave="{00000000-0000-0000-0000-000000000000}"/>
  <bookViews>
    <workbookView xWindow="11424" yWindow="0" windowWidth="11712" windowHeight="13056" activeTab="1" xr2:uid="{DEFB035F-3466-4B1B-B491-33543BE17EB4}"/>
  </bookViews>
  <sheets>
    <sheet name="Dashboard" sheetId="7" r:id="rId1"/>
    <sheet name="Brouwhistorie" sheetId="6" r:id="rId2"/>
    <sheet name="Brouwgegevens" sheetId="4" r:id="rId3"/>
    <sheet name="Hoplijst" sheetId="8" r:id="rId4"/>
    <sheet name="Subscription program" sheetId="5" r:id="rId5"/>
  </sheets>
  <definedNames>
    <definedName name="Slicer_Naam">#N/A</definedName>
    <definedName name="Slicer_Per_fles">#N/A</definedName>
    <definedName name="Slicer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4" l="1"/>
  <c r="AD11" i="4"/>
  <c r="AD16" i="4"/>
  <c r="X17" i="4"/>
  <c r="V16" i="4"/>
  <c r="X16" i="4" s="1"/>
  <c r="X11" i="4"/>
  <c r="X12" i="4"/>
  <c r="X15" i="4"/>
  <c r="V14" i="4"/>
  <c r="X14" i="4" s="1"/>
  <c r="X13" i="4"/>
  <c r="X10" i="4"/>
  <c r="X9" i="4"/>
  <c r="X8" i="4"/>
  <c r="X7" i="4"/>
  <c r="X6" i="4"/>
  <c r="X5" i="4"/>
  <c r="AB15" i="4"/>
  <c r="AD15" i="4" s="1"/>
  <c r="AD14" i="4"/>
  <c r="AB13" i="4"/>
  <c r="AD13" i="4" s="1"/>
  <c r="AD12" i="4"/>
  <c r="AD10" i="4"/>
  <c r="AD9" i="4"/>
  <c r="AD8" i="4"/>
  <c r="AD7" i="4"/>
  <c r="AD6" i="4"/>
  <c r="AD5" i="4"/>
  <c r="F8" i="5"/>
  <c r="R32" i="4"/>
  <c r="R26" i="4"/>
  <c r="L26" i="4"/>
  <c r="L5" i="4"/>
  <c r="R5" i="4"/>
  <c r="F5" i="4"/>
  <c r="F5" i="5"/>
  <c r="F9" i="5" s="1"/>
  <c r="R35" i="4"/>
  <c r="P34" i="4"/>
  <c r="R34" i="4" s="1"/>
  <c r="R33" i="4"/>
  <c r="R31" i="4"/>
  <c r="R30" i="4"/>
  <c r="R29" i="4"/>
  <c r="R28" i="4"/>
  <c r="R27" i="4"/>
  <c r="J14" i="4"/>
  <c r="L14" i="4" s="1"/>
  <c r="P14" i="4"/>
  <c r="R14" i="4" s="1"/>
  <c r="D14" i="4"/>
  <c r="F14" i="4" s="1"/>
  <c r="F13" i="4"/>
  <c r="D12" i="4"/>
  <c r="F12" i="4" s="1"/>
  <c r="F11" i="4"/>
  <c r="F10" i="4"/>
  <c r="F9" i="4"/>
  <c r="F8" i="4"/>
  <c r="F7" i="4"/>
  <c r="F6" i="4"/>
  <c r="L31" i="4"/>
  <c r="L36" i="4"/>
  <c r="J35" i="4"/>
  <c r="J34" i="4" s="1"/>
  <c r="L33" i="4"/>
  <c r="L32" i="4"/>
  <c r="L30" i="4"/>
  <c r="L29" i="4"/>
  <c r="L28" i="4"/>
  <c r="L27" i="4"/>
  <c r="R13" i="4"/>
  <c r="P12" i="4"/>
  <c r="R12" i="4" s="1"/>
  <c r="R11" i="4"/>
  <c r="R10" i="4"/>
  <c r="R9" i="4"/>
  <c r="R8" i="4"/>
  <c r="R7" i="4"/>
  <c r="R6" i="4"/>
  <c r="J12" i="4"/>
  <c r="L12" i="4" s="1"/>
  <c r="L10" i="4"/>
  <c r="L6" i="4"/>
  <c r="L8" i="4"/>
  <c r="L9" i="4"/>
  <c r="L11" i="4"/>
  <c r="L13" i="4"/>
  <c r="L7" i="4"/>
  <c r="F6" i="5"/>
  <c r="V18" i="4" l="1"/>
  <c r="AB17" i="4"/>
  <c r="AB18" i="4" s="1"/>
  <c r="H8" i="5"/>
  <c r="H9" i="5" s="1"/>
  <c r="H6" i="5"/>
  <c r="H7" i="5" s="1"/>
  <c r="R36" i="4"/>
  <c r="P38" i="4" s="1"/>
  <c r="P39" i="4" s="1"/>
  <c r="D16" i="4"/>
  <c r="L34" i="4"/>
  <c r="L35" i="4"/>
  <c r="P16" i="4"/>
  <c r="J16" i="4"/>
  <c r="V19" i="4" l="1"/>
  <c r="G5" i="6"/>
  <c r="L5" i="6" s="1"/>
  <c r="P17" i="4"/>
  <c r="G4" i="6"/>
  <c r="L4" i="6" s="1"/>
  <c r="D17" i="4"/>
  <c r="G2" i="6"/>
  <c r="L2" i="6" s="1"/>
  <c r="J17" i="4"/>
  <c r="G3" i="6"/>
  <c r="L3" i="6" s="1"/>
  <c r="F7" i="5"/>
  <c r="J38" i="4"/>
  <c r="J39" i="4" s="1"/>
</calcChain>
</file>

<file path=xl/sharedStrings.xml><?xml version="1.0" encoding="utf-8"?>
<sst xmlns="http://schemas.openxmlformats.org/spreadsheetml/2006/main" count="351" uniqueCount="132">
  <si>
    <t>Naam</t>
  </si>
  <si>
    <t>Prijs</t>
  </si>
  <si>
    <t>Kroonkurken</t>
  </si>
  <si>
    <t>Mout</t>
  </si>
  <si>
    <t>Gist</t>
  </si>
  <si>
    <t>Water</t>
  </si>
  <si>
    <t>Totaalprijs</t>
  </si>
  <si>
    <t>Prijs per fles</t>
  </si>
  <si>
    <t>Batch volume</t>
  </si>
  <si>
    <t>gram</t>
  </si>
  <si>
    <t>pk</t>
  </si>
  <si>
    <t>#</t>
  </si>
  <si>
    <t>Reiniging</t>
  </si>
  <si>
    <t>Hoeveelheid</t>
  </si>
  <si>
    <t>L</t>
  </si>
  <si>
    <t>Eenheid</t>
  </si>
  <si>
    <t>Aankoop</t>
  </si>
  <si>
    <t>€/brouw</t>
  </si>
  <si>
    <t>Verzendkosten</t>
  </si>
  <si>
    <t>Haver</t>
  </si>
  <si>
    <t>ml</t>
  </si>
  <si>
    <t>IPA</t>
  </si>
  <si>
    <t>Tropical</t>
  </si>
  <si>
    <t>Breeze</t>
  </si>
  <si>
    <t>Porter</t>
  </si>
  <si>
    <t>Maris otter</t>
  </si>
  <si>
    <t>Crystal</t>
  </si>
  <si>
    <t>Chocolate</t>
  </si>
  <si>
    <t>East kent gold</t>
  </si>
  <si>
    <t>Safale S-04</t>
  </si>
  <si>
    <t>Versie 1</t>
  </si>
  <si>
    <t>Voorgeschroot</t>
  </si>
  <si>
    <t>Ongeschroot</t>
  </si>
  <si>
    <t>Vienna mout</t>
  </si>
  <si>
    <t>Pilsner mout</t>
  </si>
  <si>
    <t>El dorado</t>
  </si>
  <si>
    <t>Cascade</t>
  </si>
  <si>
    <t>Suiker</t>
  </si>
  <si>
    <t>Batch</t>
  </si>
  <si>
    <t>Type</t>
  </si>
  <si>
    <t>Liters</t>
  </si>
  <si>
    <t>Kosten</t>
  </si>
  <si>
    <t>Per fles</t>
  </si>
  <si>
    <t>Beoordeling</t>
  </si>
  <si>
    <t>#1</t>
  </si>
  <si>
    <t>#2</t>
  </si>
  <si>
    <t>#3</t>
  </si>
  <si>
    <t>Bittersweet Summer IPA</t>
  </si>
  <si>
    <t>Tropical Breeze</t>
  </si>
  <si>
    <t>Lek-Porter</t>
  </si>
  <si>
    <t>BitterSweet</t>
  </si>
  <si>
    <t>Summer</t>
  </si>
  <si>
    <t>Citra</t>
  </si>
  <si>
    <t>Azacca</t>
  </si>
  <si>
    <t>Suikertabletten</t>
  </si>
  <si>
    <t>V2</t>
  </si>
  <si>
    <t>Eindtotaal</t>
  </si>
  <si>
    <t>Bier</t>
  </si>
  <si>
    <t>Volume (L)</t>
  </si>
  <si>
    <t>Kosten batch</t>
  </si>
  <si>
    <t>Kosten Fles</t>
  </si>
  <si>
    <t>Beoordelingen (1-5)</t>
  </si>
  <si>
    <t>Aantal deelnemers</t>
  </si>
  <si>
    <t>Aantal biertjes</t>
  </si>
  <si>
    <t>Prijs per biertje</t>
  </si>
  <si>
    <t>Kosten per biertje</t>
  </si>
  <si>
    <t>Winst per bier</t>
  </si>
  <si>
    <t>Winst totaal</t>
  </si>
  <si>
    <t>Jaarpakket</t>
  </si>
  <si>
    <t>Winstmarge</t>
  </si>
  <si>
    <t>Totale kosten batches 9L</t>
  </si>
  <si>
    <t>Brouwkosten vergoed</t>
  </si>
  <si>
    <t>Aantal batches</t>
  </si>
  <si>
    <t>Verbeterde</t>
  </si>
  <si>
    <t>Versie</t>
  </si>
  <si>
    <t>Origineel</t>
  </si>
  <si>
    <t>Storm</t>
  </si>
  <si>
    <t>Elektriciteit</t>
  </si>
  <si>
    <t>kWh</t>
  </si>
  <si>
    <t>Totale omzet</t>
  </si>
  <si>
    <t>Aantal biertjes over</t>
  </si>
  <si>
    <t>Albino</t>
  </si>
  <si>
    <t>Weizen</t>
  </si>
  <si>
    <t>Hopsoort</t>
  </si>
  <si>
    <t>Smaak 1</t>
  </si>
  <si>
    <t>Smaak 2</t>
  </si>
  <si>
    <t>Smaak 3</t>
  </si>
  <si>
    <t>Prijs 100 gram</t>
  </si>
  <si>
    <t>Link</t>
  </si>
  <si>
    <t>Afkomst</t>
  </si>
  <si>
    <t>Nectaron</t>
  </si>
  <si>
    <t>Aroma</t>
  </si>
  <si>
    <t>Citrus</t>
  </si>
  <si>
    <t>Ananas</t>
  </si>
  <si>
    <t>Passievruct</t>
  </si>
  <si>
    <t>https://www.unibrew-nederland.nl/nectaronr-nz-hopkorrels-100-gram.html</t>
  </si>
  <si>
    <t>Waimea</t>
  </si>
  <si>
    <t>Dual</t>
  </si>
  <si>
    <t>Manderijn</t>
  </si>
  <si>
    <t>https://www.unibrew-nederland.nl/hopkorrels-waimea-nz-100-gram1.html</t>
  </si>
  <si>
    <t>East Kent Goldings</t>
  </si>
  <si>
    <t>Bittering</t>
  </si>
  <si>
    <t>Pine</t>
  </si>
  <si>
    <t>Floral</t>
  </si>
  <si>
    <t>Spice</t>
  </si>
  <si>
    <t>Honey</t>
  </si>
  <si>
    <t>NZ</t>
  </si>
  <si>
    <t>VK</t>
  </si>
  <si>
    <t>VS</t>
  </si>
  <si>
    <t>Perzik</t>
  </si>
  <si>
    <t>Meloen</t>
  </si>
  <si>
    <t>Mango</t>
  </si>
  <si>
    <t>El Dorado</t>
  </si>
  <si>
    <t>Peer</t>
  </si>
  <si>
    <t>Watermeloen</t>
  </si>
  <si>
    <t>Snoep</t>
  </si>
  <si>
    <t>Huell Melon</t>
  </si>
  <si>
    <t>Aardbei</t>
  </si>
  <si>
    <t>DE</t>
  </si>
  <si>
    <t>Oats flaked</t>
  </si>
  <si>
    <t>Safale BE-256</t>
  </si>
  <si>
    <t>Weyermann Vienna</t>
  </si>
  <si>
    <t>Floormalted Pilsner</t>
  </si>
  <si>
    <t>Havervlokken</t>
  </si>
  <si>
    <t>Safale US-05</t>
  </si>
  <si>
    <t>Gouden Uurtje</t>
  </si>
  <si>
    <t>#4</t>
  </si>
  <si>
    <t>Blond</t>
  </si>
  <si>
    <t>ABV</t>
  </si>
  <si>
    <t>IBU</t>
  </si>
  <si>
    <t>Final Gravity</t>
  </si>
  <si>
    <t>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</si>
</sst>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&quot;€&quot;\ \-#,##0.00"/>
    <numFmt numFmtId="44" formatCode="_ &quot;€&quot;\ * #,##0.00_ ;_ &quot;€&quot;\ * \-#,##0.00_ ;_ &quot;€&quot;\ * &quot;-&quot;??_ ;_ @_ "/>
    <numFmt numFmtId="43" formatCode="_ * #,##0.00_ ;_ * \-#,##0.00_ ;_ * &quot;-&quot;??_ ;_ @_ "/>
    <numFmt numFmtId="165" formatCode="_ * #,##0.000_ ;_ * \-#,##0.0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0" fontId="0" fillId="0" borderId="12" xfId="0" applyBorder="1"/>
    <xf numFmtId="44" fontId="0" fillId="0" borderId="0" xfId="0" applyNumberFormat="1"/>
    <xf numFmtId="44" fontId="0" fillId="0" borderId="5" xfId="1" applyFont="1" applyBorder="1"/>
    <xf numFmtId="44" fontId="0" fillId="0" borderId="5" xfId="1" applyFont="1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2" borderId="0" xfId="2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 applyAlignment="1">
      <alignment horizontal="right"/>
    </xf>
    <xf numFmtId="0" fontId="2" fillId="0" borderId="0" xfId="0" applyFont="1"/>
    <xf numFmtId="0" fontId="0" fillId="4" borderId="15" xfId="0" applyFill="1" applyBorder="1"/>
    <xf numFmtId="0" fontId="0" fillId="3" borderId="18" xfId="0" applyFill="1" applyBorder="1"/>
    <xf numFmtId="44" fontId="0" fillId="4" borderId="15" xfId="1" applyFont="1" applyFill="1" applyBorder="1"/>
    <xf numFmtId="0" fontId="0" fillId="3" borderId="21" xfId="0" applyFill="1" applyBorder="1"/>
    <xf numFmtId="9" fontId="0" fillId="6" borderId="15" xfId="3" applyFont="1" applyFill="1" applyBorder="1"/>
    <xf numFmtId="0" fontId="0" fillId="7" borderId="0" xfId="0" applyFill="1"/>
    <xf numFmtId="44" fontId="0" fillId="0" borderId="0" xfId="1" applyFont="1" applyBorder="1"/>
    <xf numFmtId="44" fontId="0" fillId="0" borderId="0" xfId="1" applyFont="1" applyFill="1" applyBorder="1"/>
    <xf numFmtId="0" fontId="4" fillId="7" borderId="20" xfId="0" applyFont="1" applyFill="1" applyBorder="1"/>
    <xf numFmtId="0" fontId="0" fillId="7" borderId="2" xfId="0" applyFill="1" applyBorder="1"/>
    <xf numFmtId="0" fontId="4" fillId="7" borderId="22" xfId="0" applyFont="1" applyFill="1" applyBorder="1"/>
    <xf numFmtId="0" fontId="0" fillId="7" borderId="3" xfId="0" applyFill="1" applyBorder="1"/>
    <xf numFmtId="0" fontId="2" fillId="2" borderId="6" xfId="2" applyBorder="1"/>
    <xf numFmtId="0" fontId="2" fillId="2" borderId="7" xfId="2" applyBorder="1"/>
    <xf numFmtId="0" fontId="4" fillId="2" borderId="7" xfId="2" applyFont="1" applyBorder="1"/>
    <xf numFmtId="0" fontId="2" fillId="2" borderId="8" xfId="2" applyBorder="1"/>
    <xf numFmtId="44" fontId="0" fillId="4" borderId="24" xfId="0" applyNumberFormat="1" applyFill="1" applyBorder="1"/>
    <xf numFmtId="9" fontId="0" fillId="0" borderId="25" xfId="3" applyFont="1" applyBorder="1"/>
    <xf numFmtId="44" fontId="0" fillId="6" borderId="24" xfId="1" applyFont="1" applyFill="1" applyBorder="1"/>
    <xf numFmtId="0" fontId="0" fillId="3" borderId="15" xfId="0" applyFill="1" applyBorder="1"/>
    <xf numFmtId="0" fontId="0" fillId="0" borderId="15" xfId="0" applyBorder="1"/>
    <xf numFmtId="0" fontId="2" fillId="5" borderId="17" xfId="0" applyFont="1" applyFill="1" applyBorder="1"/>
    <xf numFmtId="0" fontId="0" fillId="5" borderId="19" xfId="0" applyFill="1" applyBorder="1"/>
    <xf numFmtId="0" fontId="0" fillId="5" borderId="23" xfId="0" applyFill="1" applyBorder="1"/>
    <xf numFmtId="0" fontId="0" fillId="0" borderId="24" xfId="0" applyBorder="1"/>
    <xf numFmtId="44" fontId="0" fillId="6" borderId="24" xfId="0" applyNumberFormat="1" applyFill="1" applyBorder="1"/>
    <xf numFmtId="0" fontId="0" fillId="3" borderId="16" xfId="0" applyFill="1" applyBorder="1"/>
    <xf numFmtId="44" fontId="0" fillId="4" borderId="16" xfId="0" applyNumberFormat="1" applyFill="1" applyBorder="1"/>
    <xf numFmtId="44" fontId="0" fillId="0" borderId="26" xfId="1" applyFont="1" applyBorder="1"/>
    <xf numFmtId="10" fontId="0" fillId="0" borderId="0" xfId="3" applyNumberFormat="1" applyFont="1"/>
    <xf numFmtId="165" fontId="0" fillId="0" borderId="0" xfId="4" applyNumberFormat="1" applyFont="1"/>
  </cellXfs>
  <cellStyles count="5">
    <cellStyle name="Accent1" xfId="2" builtinId="29"/>
    <cellStyle name="Komma" xfId="4" builtinId="3"/>
    <cellStyle name="Procent" xfId="3" builtinId="5"/>
    <cellStyle name="Standaard" xfId="0" builtinId="0"/>
    <cellStyle name="Valuta" xfId="1" builtinId="4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34" formatCode="_ &quot;€&quot;\ * #,##0.00_ ;_ &quot;€&quot;\ * \-#,##0.00_ ;_ &quot;€&quot;\ * &quot;-&quot;??_ ;_ @_ "/>
    </dxf>
    <dxf>
      <alignment horizontal="right"/>
    </dxf>
    <dxf>
      <numFmt numFmtId="34" formatCode="_ &quot;€&quot;\ * #,##0.00_ ;_ &quot;€&quot;\ * \-#,##0.00_ ;_ &quot;€&quot;\ * &quot;-&quot;??_ ;_ @_ "/>
    </dxf>
  </dxfs>
  <tableStyles count="0" defaultTableStyle="TableStyleMedium2" defaultPivotStyle="PivotStyleLight16"/>
  <colors>
    <mruColors>
      <color rgb="FFB7E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Kosten per fles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Brouwhistorie!$L$1</c:f>
              <c:strCache>
                <c:ptCount val="1"/>
                <c:pt idx="0">
                  <c:v>Per fles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dist="25400" dir="2700000" algn="tl" rotWithShape="0">
                  <a:schemeClr val="accent6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E-4D34-A295-F712C457743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dist="25400" dir="2700000" algn="tl" rotWithShape="0">
                  <a:schemeClr val="accent6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FE-4D34-A295-F712C4577437}"/>
              </c:ext>
            </c:extLst>
          </c:dPt>
          <c:val>
            <c:numRef>
              <c:f>Brouwhistorie!$L$2:$L$5</c:f>
              <c:numCache>
                <c:formatCode>_("€"* #,##0.00_);_("€"* \(#,##0.00\);_("€"* "-"??_);_(@_)</c:formatCode>
                <c:ptCount val="4"/>
                <c:pt idx="0">
                  <c:v>2.0172592592592591</c:v>
                </c:pt>
                <c:pt idx="1">
                  <c:v>1.2682666666666667</c:v>
                </c:pt>
                <c:pt idx="2">
                  <c:v>0.95577777777777795</c:v>
                </c:pt>
                <c:pt idx="3">
                  <c:v>1.1425625000000001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FE-4D34-A295-F712C4577437}"/>
            </c:ext>
          </c:extLst>
        </c:ser>
        <c:ser>
          <c:idx val="7"/>
          <c:order val="7"/>
          <c:tx>
            <c:strRef>
              <c:f>Brouwhistorie!#REF!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>
                  <a:lumMod val="60000"/>
                </a:schemeClr>
              </a:outerShdw>
            </a:effectLst>
          </c:spPr>
          <c:marker>
            <c:symbol val="none"/>
          </c:marker>
          <c:val>
            <c:numRef>
              <c:f>Brouwhistorie!#REF!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5B-4AD9-A1A6-452F76FC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580992"/>
        <c:axId val="949581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Brouwhistorie!$C$1</c15:sqref>
                        </c15:formulaRef>
                      </c:ext>
                    </c:extLst>
                    <c:strCache>
                      <c:ptCount val="1"/>
                      <c:pt idx="0">
                        <c:v>Batch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1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Brouwhistorie!$C$2:$C$5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FFE-4D34-A295-F712C457743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Brouwhistorie!$D$1</c15:sqref>
                        </c15:formulaRef>
                      </c:ext>
                    </c:extLst>
                    <c:strCache>
                      <c:ptCount val="1"/>
                      <c:pt idx="0">
                        <c:v>Naam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2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FE-4D34-A295-F712C457743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Brouwhistorie!$E$1</c15:sqref>
                        </c15:formulaRef>
                      </c:ext>
                    </c:extLst>
                    <c:strCache>
                      <c:ptCount val="1"/>
                      <c:pt idx="0">
                        <c:v>Type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3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FE-4D34-A295-F712C457743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Brouwhistorie!$F$1</c15:sqref>
                        </c15:formulaRef>
                      </c:ext>
                    </c:extLst>
                    <c:strCache>
                      <c:ptCount val="1"/>
                      <c:pt idx="0">
                        <c:v>Liters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4"/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4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FE-4D34-A295-F712C457743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Brouwhistorie!$G$1</c15:sqref>
                        </c15:formulaRef>
                      </c:ext>
                    </c:extLst>
                    <c:strCache>
                      <c:ptCount val="1"/>
                      <c:pt idx="0">
                        <c:v>Kosten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5"/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5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5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Brouwhistorie!$G$2:$G$5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4"/>
                      <c:pt idx="0">
                        <c:v>54.466000000000001</c:v>
                      </c:pt>
                      <c:pt idx="1">
                        <c:v>38.048000000000002</c:v>
                      </c:pt>
                      <c:pt idx="2">
                        <c:v>25.806000000000004</c:v>
                      </c:pt>
                      <c:pt idx="3">
                        <c:v>27.421500000000005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FE-4D34-A295-F712C457743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Brouwhistorie!$M$1</c15:sqref>
                        </c15:formulaRef>
                      </c:ext>
                    </c:extLst>
                    <c:strCache>
                      <c:ptCount val="1"/>
                      <c:pt idx="0">
                        <c:v>Beoordeling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lumMod val="6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6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ctr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Brouwhistorie!$M$2:$M$5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4</c:v>
                      </c:pt>
                      <c:pt idx="2">
                        <c:v>2.5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FE-4D34-A295-F712C4577437}"/>
                  </c:ext>
                </c:extLst>
              </c15:ser>
            </c15:filteredLineSeries>
          </c:ext>
        </c:extLst>
      </c:lineChart>
      <c:catAx>
        <c:axId val="9495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49581952"/>
        <c:crosses val="autoZero"/>
        <c:auto val="1"/>
        <c:lblAlgn val="ctr"/>
        <c:lblOffset val="100"/>
        <c:noMultiLvlLbl val="0"/>
      </c:catAx>
      <c:valAx>
        <c:axId val="94958195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495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6" fmlaLink="$D$4" horiz="1" max="1000" page="10" val="250"/>
</file>

<file path=xl/ctrlProps/ctrlProp2.xml><?xml version="1.0" encoding="utf-8"?>
<formControlPr xmlns="http://schemas.microsoft.com/office/spreadsheetml/2009/9/main" objectType="Scroll" dx="26" fmlaLink="$F$3" horiz="1" max="6" page="10" val="3"/>
</file>

<file path=xl/ctrlProps/ctrlProp3.xml><?xml version="1.0" encoding="utf-8"?>
<formControlPr xmlns="http://schemas.microsoft.com/office/spreadsheetml/2009/9/main" objectType="Spin" dx="26" fmlaLink="$F$2" max="30000" page="10" val="4"/>
</file>

<file path=xl/ctrlProps/ctrlProp4.xml><?xml version="1.0" encoding="utf-8"?>
<formControlPr xmlns="http://schemas.microsoft.com/office/spreadsheetml/2009/9/main" objectType="Spin" dx="26" fmlaLink="$F$4" max="30000" page="10" val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1386568</xdr:colOff>
      <xdr:row>0</xdr:row>
      <xdr:rowOff>176893</xdr:rowOff>
    </xdr:from>
    <xdr:to>
      <xdr:col>12</xdr:col>
      <xdr:colOff>578304</xdr:colOff>
      <xdr:row>14</xdr:row>
      <xdr:rowOff>176893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B7EC1A52-92D8-4E92-BA8D-970330943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14</xdr:row>
      <xdr:rowOff>0</xdr:rowOff>
    </xdr:from>
    <xdr:to>
      <xdr:col>1</xdr:col>
      <xdr:colOff>537484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ype">
              <a:extLst>
                <a:ext uri="{FF2B5EF4-FFF2-40B4-BE49-F238E27FC236}">
                  <a16:creationId xmlns:a16="http://schemas.microsoft.com/office/drawing/2014/main" id="{D292A7AA-965F-AAA0-7221-856A09135F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2571750"/>
              <a:ext cx="1435554" cy="918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45152</xdr:colOff>
      <xdr:row>0</xdr:row>
      <xdr:rowOff>0</xdr:rowOff>
    </xdr:from>
    <xdr:to>
      <xdr:col>2</xdr:col>
      <xdr:colOff>282923</xdr:colOff>
      <xdr:row>8</xdr:row>
      <xdr:rowOff>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9F8D9BDF-ACA2-5317-ADA3-EFF575602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2" y="0"/>
          <a:ext cx="1839273" cy="1457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843642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er fles 1">
              <a:extLst>
                <a:ext uri="{FF2B5EF4-FFF2-40B4-BE49-F238E27FC236}">
                  <a16:creationId xmlns:a16="http://schemas.microsoft.com/office/drawing/2014/main" id="{40F159E8-BC9D-403C-ABCA-190881E05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 fl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5554" y="2571750"/>
              <a:ext cx="1544410" cy="918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14</xdr:row>
      <xdr:rowOff>0</xdr:rowOff>
    </xdr:from>
    <xdr:to>
      <xdr:col>5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Naam">
              <a:extLst>
                <a:ext uri="{FF2B5EF4-FFF2-40B4-BE49-F238E27FC236}">
                  <a16:creationId xmlns:a16="http://schemas.microsoft.com/office/drawing/2014/main" id="{CAD4C1AB-3EC9-AF19-99A0-967FAEFEE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9964" y="2571750"/>
              <a:ext cx="2007054" cy="918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1227010</xdr:colOff>
      <xdr:row>8</xdr:row>
      <xdr:rowOff>6531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FB069FAB-37F8-4B65-8C45-0444AA00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36610" cy="146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626</xdr:rowOff>
    </xdr:from>
    <xdr:to>
      <xdr:col>1</xdr:col>
      <xdr:colOff>729803</xdr:colOff>
      <xdr:row>6</xdr:row>
      <xdr:rowOff>169333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56B4A826-27B6-4823-A761-8ECDFD56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"/>
          <a:ext cx="1599127" cy="1276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442578</xdr:colOff>
      <xdr:row>0</xdr:row>
      <xdr:rowOff>138867</xdr:rowOff>
    </xdr:from>
    <xdr:to>
      <xdr:col>3</xdr:col>
      <xdr:colOff>117168</xdr:colOff>
      <xdr:row>8</xdr:row>
      <xdr:rowOff>146843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729E917-77C8-4DFE-8843-34B954DB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578" y="138867"/>
          <a:ext cx="1837022" cy="1489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7</xdr:col>
          <xdr:colOff>723900</xdr:colOff>
          <xdr:row>5</xdr:row>
          <xdr:rowOff>0</xdr:rowOff>
        </xdr:to>
        <xdr:sp macro="" textlink="">
          <xdr:nvSpPr>
            <xdr:cNvPr id="4099" name="Scroll Ba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2</xdr:row>
          <xdr:rowOff>15240</xdr:rowOff>
        </xdr:from>
        <xdr:to>
          <xdr:col>7</xdr:col>
          <xdr:colOff>723900</xdr:colOff>
          <xdr:row>2</xdr:row>
          <xdr:rowOff>175260</xdr:rowOff>
        </xdr:to>
        <xdr:sp macro="" textlink="">
          <xdr:nvSpPr>
            <xdr:cNvPr id="4103" name="Scroll Bar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601484</xdr:colOff>
      <xdr:row>9</xdr:row>
      <xdr:rowOff>217</xdr:rowOff>
    </xdr:from>
    <xdr:to>
      <xdr:col>4</xdr:col>
      <xdr:colOff>1446828</xdr:colOff>
      <xdr:row>14</xdr:row>
      <xdr:rowOff>216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 1">
              <a:extLst>
                <a:ext uri="{FF2B5EF4-FFF2-40B4-BE49-F238E27FC236}">
                  <a16:creationId xmlns:a16="http://schemas.microsoft.com/office/drawing/2014/main" id="{6EBA8972-CB79-411E-9C44-59408B703D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468" y="1667092"/>
              <a:ext cx="1452563" cy="922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328126</xdr:colOff>
      <xdr:row>9</xdr:row>
      <xdr:rowOff>6171</xdr:rowOff>
    </xdr:from>
    <xdr:to>
      <xdr:col>10</xdr:col>
      <xdr:colOff>190717</xdr:colOff>
      <xdr:row>14</xdr:row>
      <xdr:rowOff>6170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er fles">
              <a:extLst>
                <a:ext uri="{FF2B5EF4-FFF2-40B4-BE49-F238E27FC236}">
                  <a16:creationId xmlns:a16="http://schemas.microsoft.com/office/drawing/2014/main" id="{51D7875C-8F00-4C25-83CF-3496CB8742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 fl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4392" y="1673046"/>
              <a:ext cx="1815216" cy="922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1451977</xdr:colOff>
      <xdr:row>9</xdr:row>
      <xdr:rowOff>6171</xdr:rowOff>
    </xdr:from>
    <xdr:to>
      <xdr:col>7</xdr:col>
      <xdr:colOff>332789</xdr:colOff>
      <xdr:row>14</xdr:row>
      <xdr:rowOff>12399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aam 1">
              <a:extLst>
                <a:ext uri="{FF2B5EF4-FFF2-40B4-BE49-F238E27FC236}">
                  <a16:creationId xmlns:a16="http://schemas.microsoft.com/office/drawing/2014/main" id="{DDFE2318-F124-442B-8488-8392A72746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a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0180" y="1673046"/>
              <a:ext cx="2428875" cy="928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shape vertegenwoordigt een slicer. Slicers worden in Excel 2010 of hoger ondersteund.
De slicer kan niet worden gebruikt als de shape in een eerdere Excel-versie is gewijzigd of als de werkmap is opgeslagen in Excel 2003 of eerder.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</xdr:row>
          <xdr:rowOff>22860</xdr:rowOff>
        </xdr:from>
        <xdr:to>
          <xdr:col>7</xdr:col>
          <xdr:colOff>731520</xdr:colOff>
          <xdr:row>1</xdr:row>
          <xdr:rowOff>182880</xdr:rowOff>
        </xdr:to>
        <xdr:sp macro="" textlink="">
          <xdr:nvSpPr>
            <xdr:cNvPr id="4104" name="Spinner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3</xdr:row>
          <xdr:rowOff>7620</xdr:rowOff>
        </xdr:from>
        <xdr:to>
          <xdr:col>7</xdr:col>
          <xdr:colOff>723900</xdr:colOff>
          <xdr:row>4</xdr:row>
          <xdr:rowOff>0</xdr:rowOff>
        </xdr:to>
        <xdr:sp macro="" textlink="">
          <xdr:nvSpPr>
            <xdr:cNvPr id="4106" name="Spinner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an van der Haar" refreshedDate="46093.573015856484" createdVersion="8" refreshedVersion="8" minRefreshableVersion="3" recordCount="4" xr:uid="{1239B6A3-104D-475E-A00D-C5AD80A71573}">
  <cacheSource type="worksheet">
    <worksheetSource name="Tabel1"/>
  </cacheSource>
  <cacheFields count="11">
    <cacheField name="Batch" numFmtId="0">
      <sharedItems/>
    </cacheField>
    <cacheField name="Naam" numFmtId="0">
      <sharedItems containsBlank="1" count="5">
        <s v="Bittersweet Summer IPA"/>
        <s v="Tropical Breeze"/>
        <s v="Lek-Porter"/>
        <s v="Gouden Uurtje"/>
        <m u="1"/>
      </sharedItems>
    </cacheField>
    <cacheField name="Type" numFmtId="0">
      <sharedItems containsBlank="1" count="4">
        <s v="IPA"/>
        <s v="Porter"/>
        <s v="Blond"/>
        <m u="1"/>
      </sharedItems>
    </cacheField>
    <cacheField name="Liters" numFmtId="0">
      <sharedItems containsSemiMixedTypes="0" containsString="0" containsNumber="1" containsInteger="1" minValue="8" maxValue="10"/>
    </cacheField>
    <cacheField name="Kosten" numFmtId="44">
      <sharedItems containsSemiMixedTypes="0" containsString="0" containsNumber="1" minValue="25.806000000000004" maxValue="54.466000000000001"/>
    </cacheField>
    <cacheField name="ABV" numFmtId="10">
      <sharedItems containsSemiMixedTypes="0" containsString="0" containsNumber="1" minValue="4.2999999999999997E-2" maxValue="7.5999999999999998E-2"/>
    </cacheField>
    <cacheField name="IBU" numFmtId="0">
      <sharedItems containsSemiMixedTypes="0" containsString="0" containsNumber="1" containsInteger="1" minValue="23" maxValue="108"/>
    </cacheField>
    <cacheField name="Final Gravity" numFmtId="44">
      <sharedItems containsNonDate="0" containsString="0" containsBlank="1"/>
    </cacheField>
    <cacheField name="EBC" numFmtId="0">
      <sharedItems containsNonDate="0" containsString="0" containsBlank="1"/>
    </cacheField>
    <cacheField name="Per fles" numFmtId="44">
      <sharedItems containsSemiMixedTypes="0" containsString="0" containsNumber="1" minValue="0.91503703703703698" maxValue="2.0172592592592591" count="8">
        <n v="2.0172592592592591"/>
        <n v="1.2682666666666667"/>
        <n v="0.95577777777777795"/>
        <n v="1.1425625000000001"/>
        <n v="1.2866428571428572" u="1"/>
        <n v="1.9762962962962962" u="1"/>
        <n v="1.2316666666666667" u="1"/>
        <n v="0.91503703703703698" u="1"/>
      </sharedItems>
    </cacheField>
    <cacheField name="Beoordeling" numFmtId="0">
      <sharedItems containsSemiMixedTypes="0" containsString="0" containsNumber="1" minValue="2.5" maxValue="4"/>
    </cacheField>
  </cacheFields>
  <extLst>
    <ext xmlns:x14="http://schemas.microsoft.com/office/spreadsheetml/2009/9/main" uri="{725AE2AE-9491-48be-B2B4-4EB974FC3084}">
      <x14:pivotCacheDefinition pivotCacheId="17473623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#1"/>
    <x v="0"/>
    <x v="0"/>
    <n v="9"/>
    <n v="54.466000000000001"/>
    <n v="6.5600000000000006E-2"/>
    <n v="108"/>
    <m/>
    <m/>
    <x v="0"/>
    <n v="3"/>
  </r>
  <r>
    <s v="#2"/>
    <x v="1"/>
    <x v="0"/>
    <n v="10"/>
    <n v="38.048000000000002"/>
    <n v="5.8999999999999997E-2"/>
    <n v="62"/>
    <m/>
    <m/>
    <x v="1"/>
    <n v="4"/>
  </r>
  <r>
    <s v="#3"/>
    <x v="2"/>
    <x v="1"/>
    <n v="9"/>
    <n v="25.806000000000004"/>
    <n v="4.2999999999999997E-2"/>
    <n v="23"/>
    <m/>
    <m/>
    <x v="2"/>
    <n v="2.5"/>
  </r>
  <r>
    <s v="#4"/>
    <x v="3"/>
    <x v="2"/>
    <n v="8"/>
    <n v="27.421500000000005"/>
    <n v="7.5999999999999998E-2"/>
    <n v="24"/>
    <m/>
    <m/>
    <x v="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0D953-1EEF-4CCF-B510-4AE4B0078494}" name="Draaitabel4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rowHeaderCaption="Bier">
  <location ref="A10:E12" firstHeaderRow="0" firstDataRow="1" firstDataCol="1"/>
  <pivotFields count="11">
    <pivotField showAll="0"/>
    <pivotField axis="axisRow" showAll="0">
      <items count="6">
        <item h="1" x="0"/>
        <item h="1" x="2"/>
        <item h="1" x="1"/>
        <item h="1" m="1" x="4"/>
        <item x="3"/>
        <item t="default"/>
      </items>
    </pivotField>
    <pivotField showAll="0">
      <items count="5">
        <item x="2"/>
        <item x="0"/>
        <item x="1"/>
        <item m="1"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dataField="1" showAll="0">
      <items count="9">
        <item m="1" x="7"/>
        <item x="2"/>
        <item x="3"/>
        <item m="1" x="6"/>
        <item x="1"/>
        <item m="1" x="4"/>
        <item m="1" x="5"/>
        <item x="0"/>
        <item t="default"/>
      </items>
    </pivotField>
    <pivotField dataField="1" showAll="0"/>
  </pivotFields>
  <rowFields count="1">
    <field x="1"/>
  </rowFields>
  <rowItems count="2"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olume (L)" fld="3" baseField="0" baseItem="0"/>
    <dataField name="Kosten batch" fld="4" baseField="0" baseItem="0" numFmtId="44"/>
    <dataField name="Kosten Fles" fld="9" subtotal="average" baseField="1" baseItem="0" numFmtId="44"/>
    <dataField name="Beoordelingen (1-5)" fld="10" subtotal="average" baseField="1" baseItem="0"/>
  </dataFields>
  <formats count="3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" xr10:uid="{A43E87DC-E5EC-4FF9-996E-DB0E8DD7B4D5}" sourceName="Type">
  <pivotTables>
    <pivotTable tabId="7" name="Draaitabel4"/>
  </pivotTables>
  <data>
    <tabular pivotCacheId="1747362353">
      <items count="4">
        <i x="2" s="1"/>
        <i x="0" s="1" nd="1"/>
        <i x="1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er_fles" xr10:uid="{5990AF64-D69D-42F7-963E-77D140D7FC89}" sourceName="Per fles">
  <pivotTables>
    <pivotTable tabId="7" name="Draaitabel4"/>
  </pivotTables>
  <data>
    <tabular pivotCacheId="1747362353">
      <items count="8">
        <i x="3" s="1"/>
        <i x="7" s="1" nd="1"/>
        <i x="2" s="1" nd="1"/>
        <i x="6" s="1" nd="1"/>
        <i x="1" s="1" nd="1"/>
        <i x="4" s="1" nd="1"/>
        <i x="5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am" xr10:uid="{E0030299-0DA3-493E-B4E7-6F0787C2E00E}" sourceName="Naam">
  <pivotTables>
    <pivotTable tabId="7" name="Draaitabel4"/>
  </pivotTables>
  <data>
    <tabular pivotCacheId="1747362353">
      <items count="5">
        <i x="0"/>
        <i x="3" s="1"/>
        <i x="2"/>
        <i x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2FB202B5-CABA-498A-A1C3-9ECE58BF6C7D}" cache="Slicer_Type" caption="Type" style="SlicerStyleDark1" rowHeight="247650"/>
  <slicer name="Per fles 1" xr10:uid="{B8EBAE56-D568-4E13-9DE1-3AD40A039650}" cache="Slicer_Per_fles" caption="Per fles" rowHeight="247650"/>
  <slicer name="Naam" xr10:uid="{2410CE1F-03BB-4D31-9C25-3EA69370E2B3}" cache="Slicer_Naam" caption="Naam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1" xr10:uid="{E6FD33C4-041F-4289-80AA-4640C75E7702}" cache="Slicer_Type" caption="Type" style="SlicerStyleDark1" rowHeight="247650"/>
  <slicer name="Per fles" xr10:uid="{47A19848-8541-4B1B-96C2-9990EF3BB731}" cache="Slicer_Per_fles" caption="Per fles" rowHeight="247650"/>
  <slicer name="Naam 1" xr10:uid="{E5302FD9-C4B1-4312-A772-2664AB525DDC}" cache="Slicer_Naam" caption="Naam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76ACF-17D5-4861-8CDB-BA88B93B5252}" name="Tabel1" displayName="Tabel1" ref="C1:M5" totalsRowShown="0">
  <autoFilter ref="C1:M5" xr:uid="{CFC76ACF-17D5-4861-8CDB-BA88B93B5252}"/>
  <tableColumns count="11">
    <tableColumn id="1" xr3:uid="{F4B09D0F-927C-41AB-8707-0A049DF59A18}" name="Batch"/>
    <tableColumn id="2" xr3:uid="{A13E3B49-8ED1-4839-A28E-9292F8B3C39A}" name="Naam"/>
    <tableColumn id="3" xr3:uid="{8C987D0B-980B-47B9-8B69-88C11DCB6346}" name="Type"/>
    <tableColumn id="4" xr3:uid="{BF7C13B1-31C9-4C81-BE97-CD5B4811FB14}" name="Liters"/>
    <tableColumn id="5" xr3:uid="{C6E414F0-5D79-4701-830E-A9B0D305F759}" name="Kosten"/>
    <tableColumn id="6" xr3:uid="{9ADDF6FC-2A9D-44F7-B341-4748F76051E4}" name="ABV" dataDxfId="3" dataCellStyle="Procent"/>
    <tableColumn id="7" xr3:uid="{C1986BCE-7C41-469D-BDD0-70C24A2526C3}" name="IBU" dataDxfId="2" dataCellStyle="Valuta"/>
    <tableColumn id="8" xr3:uid="{FB29210F-1EBE-412E-8C5D-1C388C362D50}" name="Final Gravity" dataDxfId="1" dataCellStyle="Komma"/>
    <tableColumn id="9" xr3:uid="{3F8A7197-804F-45B2-B525-14E87B21AB14}" name="EBC"/>
    <tableColumn id="10" xr3:uid="{612C37B6-635F-4BE2-8A40-C297F3F4D758}" name="Per fles" dataDxfId="0" dataCellStyle="Valuta">
      <calculatedColumnFormula>G2/(F2*3)</calculatedColumnFormula>
    </tableColumn>
    <tableColumn id="11" xr3:uid="{5969C0AE-8B63-4138-BD98-8ACB7B9702CF}" name="Beoordel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C4BD0-1853-44EE-A4BB-977FF19B3DCF}" name="Tabel2" displayName="Tabel2" ref="A1:H10" totalsRowShown="0">
  <autoFilter ref="A1:H10" xr:uid="{EFBC4BD0-1853-44EE-A4BB-977FF19B3DCF}"/>
  <tableColumns count="8">
    <tableColumn id="1" xr3:uid="{466C3896-1687-4305-9E0D-7277064767F9}" name="Hopsoort"/>
    <tableColumn id="2" xr3:uid="{31016735-BC29-4557-A32F-80EAA878CE09}" name="Type"/>
    <tableColumn id="3" xr3:uid="{B1DE86B4-D0F5-42D5-BE36-497F8DE6D87F}" name="Smaak 1"/>
    <tableColumn id="4" xr3:uid="{373AA4F2-602B-4713-9466-9F50986B5E36}" name="Smaak 2"/>
    <tableColumn id="5" xr3:uid="{B0F620B4-029D-4EA8-97B2-CDB4CAC58E41}" name="Smaak 3"/>
    <tableColumn id="6" xr3:uid="{00FFF497-4D36-4DCD-A6BB-9E138D277D3D}" name="Afkomst"/>
    <tableColumn id="7" xr3:uid="{E55804A4-F5C6-4D8C-AE2F-06C0AF24E1BA}" name="Prijs 100 gram"/>
    <tableColumn id="8" xr3:uid="{F5195006-0931-48B1-9C8D-0F37EC780CB1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73B4-2EBE-4234-BD54-4DEDDA69AF11}">
  <sheetPr codeName="Blad1"/>
  <dimension ref="A10:E12"/>
  <sheetViews>
    <sheetView topLeftCell="A13" zoomScale="112" workbookViewId="0">
      <selection activeCell="I26" sqref="I26"/>
    </sheetView>
  </sheetViews>
  <sheetFormatPr defaultRowHeight="14.4" x14ac:dyDescent="0.3"/>
  <cols>
    <col min="1" max="1" width="13.109375" bestFit="1" customWidth="1"/>
    <col min="2" max="2" width="10.21875" bestFit="1" customWidth="1"/>
    <col min="3" max="3" width="12.33203125" bestFit="1" customWidth="1"/>
    <col min="4" max="4" width="11.109375" bestFit="1" customWidth="1"/>
    <col min="5" max="5" width="18.109375" bestFit="1" customWidth="1"/>
    <col min="6" max="6" width="25.21875" bestFit="1" customWidth="1"/>
  </cols>
  <sheetData>
    <row r="10" spans="1:5" x14ac:dyDescent="0.3">
      <c r="A10" s="21" t="s">
        <v>57</v>
      </c>
      <c r="B10" t="s">
        <v>58</v>
      </c>
      <c r="C10" t="s">
        <v>59</v>
      </c>
      <c r="D10" t="s">
        <v>60</v>
      </c>
      <c r="E10" t="s">
        <v>61</v>
      </c>
    </row>
    <row r="11" spans="1:5" x14ac:dyDescent="0.3">
      <c r="A11" s="22" t="s">
        <v>125</v>
      </c>
      <c r="B11">
        <v>8</v>
      </c>
      <c r="C11" s="23">
        <v>27.421500000000005</v>
      </c>
      <c r="D11" s="13">
        <v>1.1425625000000001</v>
      </c>
      <c r="E11">
        <v>3</v>
      </c>
    </row>
    <row r="12" spans="1:5" x14ac:dyDescent="0.3">
      <c r="A12" s="22" t="s">
        <v>56</v>
      </c>
      <c r="B12">
        <v>8</v>
      </c>
      <c r="C12" s="23">
        <v>27.421500000000005</v>
      </c>
      <c r="D12" s="13">
        <v>1.1425625000000001</v>
      </c>
      <c r="E12">
        <v>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ADE4-A31B-4CCA-8E26-C1D792D7D606}">
  <sheetPr codeName="Blad3"/>
  <dimension ref="C1:M5"/>
  <sheetViews>
    <sheetView tabSelected="1" topLeftCell="D1" workbookViewId="0">
      <selection activeCell="K8" sqref="K8"/>
    </sheetView>
  </sheetViews>
  <sheetFormatPr defaultRowHeight="14.4" x14ac:dyDescent="0.3"/>
  <cols>
    <col min="2" max="2" width="20.5546875" customWidth="1"/>
    <col min="3" max="3" width="8" bestFit="1" customWidth="1"/>
    <col min="4" max="4" width="20.44140625" bestFit="1" customWidth="1"/>
    <col min="5" max="5" width="7.109375" bestFit="1" customWidth="1"/>
    <col min="6" max="6" width="7.88671875" bestFit="1" customWidth="1"/>
    <col min="7" max="7" width="8.88671875" bestFit="1" customWidth="1"/>
    <col min="8" max="8" width="9.33203125" bestFit="1" customWidth="1"/>
    <col min="9" max="9" width="13.109375" bestFit="1" customWidth="1"/>
    <col min="10" max="10" width="14.109375" customWidth="1"/>
  </cols>
  <sheetData>
    <row r="1" spans="3:13" x14ac:dyDescent="0.3">
      <c r="C1" t="s">
        <v>38</v>
      </c>
      <c r="D1" t="s">
        <v>0</v>
      </c>
      <c r="E1" t="s">
        <v>39</v>
      </c>
      <c r="F1" t="s">
        <v>40</v>
      </c>
      <c r="G1" t="s">
        <v>41</v>
      </c>
      <c r="H1" t="s">
        <v>128</v>
      </c>
      <c r="I1" t="s">
        <v>129</v>
      </c>
      <c r="J1" t="s">
        <v>130</v>
      </c>
      <c r="K1" t="s">
        <v>131</v>
      </c>
      <c r="L1" t="s">
        <v>42</v>
      </c>
      <c r="M1" t="s">
        <v>43</v>
      </c>
    </row>
    <row r="2" spans="3:13" x14ac:dyDescent="0.3">
      <c r="C2" t="s">
        <v>44</v>
      </c>
      <c r="D2" t="s">
        <v>47</v>
      </c>
      <c r="E2" t="s">
        <v>21</v>
      </c>
      <c r="F2">
        <v>9</v>
      </c>
      <c r="G2" s="20">
        <f>Brouwgegevens!D16</f>
        <v>54.466000000000001</v>
      </c>
      <c r="H2" s="54">
        <v>6.5600000000000006E-2</v>
      </c>
      <c r="I2">
        <v>108</v>
      </c>
      <c r="J2" s="55">
        <v>1.008</v>
      </c>
      <c r="K2">
        <v>10</v>
      </c>
      <c r="L2" s="20">
        <f>G2/(F2*3)</f>
        <v>2.0172592592592591</v>
      </c>
      <c r="M2">
        <v>3</v>
      </c>
    </row>
    <row r="3" spans="3:13" x14ac:dyDescent="0.3">
      <c r="C3" t="s">
        <v>45</v>
      </c>
      <c r="D3" t="s">
        <v>48</v>
      </c>
      <c r="E3" t="s">
        <v>21</v>
      </c>
      <c r="F3">
        <v>10</v>
      </c>
      <c r="G3" s="20">
        <f>Brouwgegevens!J16</f>
        <v>38.048000000000002</v>
      </c>
      <c r="H3" s="54">
        <v>5.8999999999999997E-2</v>
      </c>
      <c r="I3">
        <v>62</v>
      </c>
      <c r="J3" s="55">
        <v>1.008</v>
      </c>
      <c r="K3">
        <v>12</v>
      </c>
      <c r="L3" s="20">
        <f>G3/(F3*3)</f>
        <v>1.2682666666666667</v>
      </c>
      <c r="M3">
        <v>4</v>
      </c>
    </row>
    <row r="4" spans="3:13" x14ac:dyDescent="0.3">
      <c r="C4" t="s">
        <v>46</v>
      </c>
      <c r="D4" t="s">
        <v>49</v>
      </c>
      <c r="E4" t="s">
        <v>24</v>
      </c>
      <c r="F4">
        <v>9</v>
      </c>
      <c r="G4" s="20">
        <f>Brouwgegevens!P16</f>
        <v>25.806000000000004</v>
      </c>
      <c r="H4" s="54">
        <v>4.2999999999999997E-2</v>
      </c>
      <c r="I4">
        <v>23</v>
      </c>
      <c r="J4" s="55">
        <v>1.01</v>
      </c>
      <c r="K4">
        <v>50</v>
      </c>
      <c r="L4" s="20">
        <f>G4/(F4*3)</f>
        <v>0.95577777777777795</v>
      </c>
      <c r="M4">
        <v>2.5</v>
      </c>
    </row>
    <row r="5" spans="3:13" x14ac:dyDescent="0.3">
      <c r="C5" t="s">
        <v>126</v>
      </c>
      <c r="D5" t="s">
        <v>125</v>
      </c>
      <c r="E5" t="s">
        <v>127</v>
      </c>
      <c r="F5">
        <v>8</v>
      </c>
      <c r="G5" s="20">
        <f>Brouwgegevens!V18</f>
        <v>27.421500000000005</v>
      </c>
      <c r="H5" s="54">
        <v>7.5999999999999998E-2</v>
      </c>
      <c r="I5">
        <v>24</v>
      </c>
      <c r="J5" s="55">
        <v>1.012</v>
      </c>
      <c r="K5">
        <v>11</v>
      </c>
      <c r="L5" s="20">
        <f>G5/(F5*3)</f>
        <v>1.1425625000000001</v>
      </c>
      <c r="M5">
        <v>3</v>
      </c>
    </row>
  </sheetData>
  <phoneticPr fontId="3" type="noConversion"/>
  <conditionalFormatting sqref="L2:L5">
    <cfRule type="colorScale" priority="1">
      <colorScale>
        <cfvo type="min"/>
        <cfvo type="max"/>
        <color rgb="FF63BE7B"/>
        <color rgb="FFFFEF9C"/>
      </colorScale>
    </cfRule>
  </conditionalFormatting>
  <conditionalFormatting sqref="M2:M5">
    <cfRule type="colorScale" priority="2">
      <colorScale>
        <cfvo type="num" val="0"/>
        <cfvo type="percentile" val="50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12CE80A7-864E-4109-9DA8-C0FF205A1B59}">
            <x14:iconSet iconSet="3Stars">
              <x14:cfvo type="percent">
                <xm:f>0</xm:f>
              </x14:cfvo>
              <x14:cfvo type="num">
                <xm:f>3</xm:f>
              </x14:cfvo>
              <x14:cfvo type="num">
                <xm:f>4</xm:f>
              </x14:cfvo>
            </x14:iconSet>
          </x14:cfRule>
          <xm:sqref>M2:M5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6337-37E6-49E7-B932-1E93FCED647A}">
  <sheetPr codeName="Blad2"/>
  <dimension ref="C1:AF39"/>
  <sheetViews>
    <sheetView zoomScale="66" workbookViewId="0">
      <selection activeCell="X33" sqref="X33"/>
    </sheetView>
  </sheetViews>
  <sheetFormatPr defaultRowHeight="14.4" x14ac:dyDescent="0.3"/>
  <cols>
    <col min="1" max="1" width="12.6640625" customWidth="1"/>
    <col min="2" max="2" width="11.77734375" customWidth="1"/>
    <col min="3" max="3" width="13.5546875" bestFit="1" customWidth="1"/>
    <col min="4" max="4" width="13.109375" bestFit="1" customWidth="1"/>
    <col min="5" max="5" width="7.77734375" bestFit="1" customWidth="1"/>
    <col min="6" max="6" width="8.109375" bestFit="1" customWidth="1"/>
    <col min="7" max="7" width="13.21875" bestFit="1" customWidth="1"/>
    <col min="8" max="8" width="7.88671875" bestFit="1" customWidth="1"/>
    <col min="9" max="9" width="13.5546875" bestFit="1" customWidth="1"/>
    <col min="10" max="10" width="11.109375" bestFit="1" customWidth="1"/>
    <col min="11" max="11" width="7.77734375" bestFit="1" customWidth="1"/>
    <col min="12" max="12" width="8.109375" bestFit="1" customWidth="1"/>
    <col min="13" max="13" width="13.21875" bestFit="1" customWidth="1"/>
    <col min="14" max="14" width="7.6640625" bestFit="1" customWidth="1"/>
    <col min="15" max="15" width="13.5546875" bestFit="1" customWidth="1"/>
    <col min="16" max="16" width="13.109375" bestFit="1" customWidth="1"/>
    <col min="17" max="17" width="7.77734375" bestFit="1" customWidth="1"/>
    <col min="18" max="18" width="8.109375" bestFit="1" customWidth="1"/>
    <col min="19" max="19" width="8.44140625" bestFit="1" customWidth="1"/>
    <col min="20" max="20" width="7.6640625" bestFit="1" customWidth="1"/>
    <col min="21" max="21" width="17.109375" customWidth="1"/>
    <col min="27" max="27" width="14.5546875" customWidth="1"/>
  </cols>
  <sheetData>
    <row r="1" spans="3:32" ht="15" thickBot="1" x14ac:dyDescent="0.35">
      <c r="C1" s="33" t="s">
        <v>75</v>
      </c>
      <c r="D1" s="34"/>
      <c r="E1" s="34"/>
      <c r="F1" s="34"/>
      <c r="G1" s="34"/>
      <c r="H1" s="34"/>
      <c r="I1" s="35" t="s">
        <v>75</v>
      </c>
      <c r="J1" s="34"/>
      <c r="K1" s="34"/>
      <c r="L1" s="34"/>
      <c r="M1" s="34"/>
      <c r="N1" s="34"/>
      <c r="O1" s="35" t="s">
        <v>75</v>
      </c>
      <c r="P1" s="34"/>
      <c r="Q1" s="34"/>
      <c r="R1" s="34"/>
      <c r="S1" s="34"/>
      <c r="T1" s="36"/>
      <c r="U1" s="35" t="s">
        <v>75</v>
      </c>
      <c r="V1" s="34"/>
      <c r="W1" s="34"/>
      <c r="X1" s="34"/>
      <c r="Y1" s="34"/>
      <c r="Z1" s="36"/>
      <c r="AA1" s="35" t="s">
        <v>75</v>
      </c>
      <c r="AB1" s="30"/>
      <c r="AC1" s="30"/>
      <c r="AD1" s="30"/>
      <c r="AE1" s="30"/>
      <c r="AF1" s="30"/>
    </row>
    <row r="2" spans="3:32" x14ac:dyDescent="0.3">
      <c r="C2" s="1" t="s">
        <v>50</v>
      </c>
      <c r="D2" s="2" t="s">
        <v>51</v>
      </c>
      <c r="E2" s="2" t="s">
        <v>21</v>
      </c>
      <c r="F2" s="2"/>
      <c r="G2" s="2" t="s">
        <v>31</v>
      </c>
      <c r="H2" s="3"/>
      <c r="I2" s="1" t="s">
        <v>22</v>
      </c>
      <c r="J2" s="2" t="s">
        <v>23</v>
      </c>
      <c r="K2" s="2" t="s">
        <v>21</v>
      </c>
      <c r="L2" s="2" t="s">
        <v>30</v>
      </c>
      <c r="M2" s="2" t="s">
        <v>31</v>
      </c>
      <c r="N2" s="2"/>
      <c r="O2" s="1" t="s">
        <v>49</v>
      </c>
      <c r="P2" s="2"/>
      <c r="Q2" s="2"/>
      <c r="R2" s="2"/>
      <c r="S2" s="2"/>
      <c r="T2" s="3"/>
      <c r="U2" s="1" t="s">
        <v>125</v>
      </c>
      <c r="V2" s="2"/>
      <c r="W2" s="2"/>
      <c r="X2" s="2"/>
      <c r="Y2" s="2"/>
      <c r="Z2" s="3"/>
      <c r="AA2" s="1" t="s">
        <v>81</v>
      </c>
      <c r="AB2" s="2" t="s">
        <v>82</v>
      </c>
      <c r="AC2" s="2"/>
      <c r="AD2" s="2"/>
      <c r="AE2" s="2"/>
      <c r="AF2" s="3"/>
    </row>
    <row r="3" spans="3:32" x14ac:dyDescent="0.3">
      <c r="C3" s="11" t="s">
        <v>0</v>
      </c>
      <c r="D3" s="8" t="s">
        <v>13</v>
      </c>
      <c r="E3" s="8" t="s">
        <v>15</v>
      </c>
      <c r="F3" s="8" t="s">
        <v>17</v>
      </c>
      <c r="G3" s="8" t="s">
        <v>16</v>
      </c>
      <c r="H3" s="12" t="s">
        <v>1</v>
      </c>
      <c r="I3" s="11" t="s">
        <v>0</v>
      </c>
      <c r="J3" s="8" t="s">
        <v>13</v>
      </c>
      <c r="K3" s="8" t="s">
        <v>15</v>
      </c>
      <c r="L3" s="8" t="s">
        <v>17</v>
      </c>
      <c r="M3" s="8" t="s">
        <v>16</v>
      </c>
      <c r="N3" s="8" t="s">
        <v>1</v>
      </c>
      <c r="O3" s="11" t="s">
        <v>0</v>
      </c>
      <c r="P3" s="8" t="s">
        <v>13</v>
      </c>
      <c r="Q3" s="8" t="s">
        <v>15</v>
      </c>
      <c r="R3" s="8" t="s">
        <v>17</v>
      </c>
      <c r="S3" s="8" t="s">
        <v>16</v>
      </c>
      <c r="T3" s="12" t="s">
        <v>1</v>
      </c>
      <c r="U3" s="11" t="s">
        <v>0</v>
      </c>
      <c r="V3" s="8" t="s">
        <v>13</v>
      </c>
      <c r="W3" s="8" t="s">
        <v>15</v>
      </c>
      <c r="X3" s="8" t="s">
        <v>17</v>
      </c>
      <c r="Y3" s="8" t="s">
        <v>16</v>
      </c>
      <c r="Z3" s="12" t="s">
        <v>1</v>
      </c>
      <c r="AA3" s="11" t="s">
        <v>0</v>
      </c>
      <c r="AB3" s="8" t="s">
        <v>13</v>
      </c>
      <c r="AC3" s="8" t="s">
        <v>15</v>
      </c>
      <c r="AD3" s="8" t="s">
        <v>17</v>
      </c>
      <c r="AE3" s="8" t="s">
        <v>16</v>
      </c>
      <c r="AF3" s="12" t="s">
        <v>1</v>
      </c>
    </row>
    <row r="4" spans="3:32" x14ac:dyDescent="0.3">
      <c r="C4" s="11" t="s">
        <v>8</v>
      </c>
      <c r="D4" s="8">
        <v>9</v>
      </c>
      <c r="E4" s="8" t="s">
        <v>14</v>
      </c>
      <c r="F4" s="8"/>
      <c r="G4" s="8"/>
      <c r="H4" s="12"/>
      <c r="I4" s="11" t="s">
        <v>8</v>
      </c>
      <c r="J4" s="8">
        <v>10</v>
      </c>
      <c r="K4" s="8" t="s">
        <v>14</v>
      </c>
      <c r="L4" s="8"/>
      <c r="M4" s="8"/>
      <c r="N4" s="8"/>
      <c r="O4" s="11" t="s">
        <v>8</v>
      </c>
      <c r="P4" s="8">
        <v>9</v>
      </c>
      <c r="Q4" s="8" t="s">
        <v>14</v>
      </c>
      <c r="R4" s="8"/>
      <c r="S4" s="8"/>
      <c r="T4" s="12"/>
      <c r="U4" s="11" t="s">
        <v>8</v>
      </c>
      <c r="V4" s="8">
        <v>8</v>
      </c>
      <c r="W4" s="8" t="s">
        <v>14</v>
      </c>
      <c r="X4" s="8"/>
      <c r="Y4" s="8"/>
      <c r="Z4" s="12"/>
      <c r="AA4" s="11" t="s">
        <v>8</v>
      </c>
      <c r="AB4" s="8">
        <v>9</v>
      </c>
      <c r="AC4" s="8" t="s">
        <v>14</v>
      </c>
      <c r="AD4" s="8"/>
      <c r="AE4" s="8"/>
      <c r="AF4" s="12"/>
    </row>
    <row r="5" spans="3:32" x14ac:dyDescent="0.3">
      <c r="C5" s="7" t="s">
        <v>77</v>
      </c>
      <c r="D5">
        <v>5</v>
      </c>
      <c r="E5" t="s">
        <v>78</v>
      </c>
      <c r="F5" s="13">
        <f t="shared" ref="F5:F14" si="0">D5/G5*H5</f>
        <v>1.1000000000000001</v>
      </c>
      <c r="G5">
        <v>1</v>
      </c>
      <c r="H5" s="31">
        <v>0.22</v>
      </c>
      <c r="I5" s="7" t="s">
        <v>77</v>
      </c>
      <c r="J5">
        <v>5</v>
      </c>
      <c r="K5" t="s">
        <v>78</v>
      </c>
      <c r="L5" s="13">
        <f t="shared" ref="L5" si="1">J5/M5*N5</f>
        <v>1.1000000000000001</v>
      </c>
      <c r="M5">
        <v>1</v>
      </c>
      <c r="N5" s="14">
        <v>0.22</v>
      </c>
      <c r="O5" s="7" t="s">
        <v>77</v>
      </c>
      <c r="P5">
        <v>5</v>
      </c>
      <c r="Q5" t="s">
        <v>78</v>
      </c>
      <c r="R5" s="13">
        <f t="shared" ref="R5" si="2">P5/S5*T5</f>
        <v>1.1000000000000001</v>
      </c>
      <c r="S5">
        <v>1</v>
      </c>
      <c r="T5" s="14">
        <v>0.22</v>
      </c>
      <c r="U5" s="7" t="s">
        <v>77</v>
      </c>
      <c r="V5">
        <v>5</v>
      </c>
      <c r="W5" t="s">
        <v>78</v>
      </c>
      <c r="X5" s="13">
        <f t="shared" ref="X5:X10" si="3">V5/Y5*Z5</f>
        <v>1.1000000000000001</v>
      </c>
      <c r="Y5">
        <v>1</v>
      </c>
      <c r="Z5" s="14">
        <v>0.22</v>
      </c>
      <c r="AA5" s="7" t="s">
        <v>77</v>
      </c>
      <c r="AB5">
        <v>5</v>
      </c>
      <c r="AC5" t="s">
        <v>78</v>
      </c>
      <c r="AD5" s="13">
        <f t="shared" ref="AD5:AD11" si="4">AB5/AE5*AF5</f>
        <v>1.1000000000000001</v>
      </c>
      <c r="AE5">
        <v>1</v>
      </c>
      <c r="AF5" s="14">
        <v>0.22</v>
      </c>
    </row>
    <row r="6" spans="3:32" x14ac:dyDescent="0.3">
      <c r="C6" s="7" t="s">
        <v>5</v>
      </c>
      <c r="D6">
        <v>330</v>
      </c>
      <c r="E6" t="s">
        <v>14</v>
      </c>
      <c r="F6" s="13">
        <f t="shared" si="0"/>
        <v>0.75900000000000001</v>
      </c>
      <c r="G6">
        <v>1</v>
      </c>
      <c r="H6" s="4">
        <v>2.3E-3</v>
      </c>
      <c r="I6" s="7" t="s">
        <v>5</v>
      </c>
      <c r="J6">
        <v>330</v>
      </c>
      <c r="K6" t="s">
        <v>14</v>
      </c>
      <c r="L6" s="13">
        <f t="shared" ref="L6:L14" si="5">J6/M6*N6</f>
        <v>0.75900000000000001</v>
      </c>
      <c r="M6">
        <v>1</v>
      </c>
      <c r="N6">
        <v>2.3E-3</v>
      </c>
      <c r="O6" s="7" t="s">
        <v>5</v>
      </c>
      <c r="P6">
        <v>330</v>
      </c>
      <c r="Q6" t="s">
        <v>14</v>
      </c>
      <c r="R6" s="13">
        <f t="shared" ref="R6:R14" si="6">P6/S6*T6</f>
        <v>0.75900000000000001</v>
      </c>
      <c r="S6">
        <v>1</v>
      </c>
      <c r="T6" s="4">
        <v>2.3E-3</v>
      </c>
      <c r="U6" s="7" t="s">
        <v>5</v>
      </c>
      <c r="V6">
        <v>330</v>
      </c>
      <c r="W6" t="s">
        <v>14</v>
      </c>
      <c r="X6" s="13">
        <f t="shared" si="3"/>
        <v>0.75900000000000001</v>
      </c>
      <c r="Y6">
        <v>1</v>
      </c>
      <c r="Z6" s="4">
        <v>2.3E-3</v>
      </c>
      <c r="AA6" s="7" t="s">
        <v>5</v>
      </c>
      <c r="AB6">
        <v>330</v>
      </c>
      <c r="AC6" t="s">
        <v>14</v>
      </c>
      <c r="AD6" s="13">
        <f t="shared" si="4"/>
        <v>0.75900000000000001</v>
      </c>
      <c r="AE6">
        <v>1</v>
      </c>
      <c r="AF6" s="4">
        <v>2.3E-3</v>
      </c>
    </row>
    <row r="7" spans="3:32" x14ac:dyDescent="0.3">
      <c r="C7" s="7" t="s">
        <v>52</v>
      </c>
      <c r="D7">
        <v>50</v>
      </c>
      <c r="E7" t="s">
        <v>9</v>
      </c>
      <c r="F7" s="13">
        <f t="shared" si="0"/>
        <v>4.9749999999999996</v>
      </c>
      <c r="G7">
        <v>100</v>
      </c>
      <c r="H7" s="14">
        <v>9.9499999999999993</v>
      </c>
      <c r="I7" s="7" t="s">
        <v>52</v>
      </c>
      <c r="J7">
        <v>50</v>
      </c>
      <c r="K7" t="s">
        <v>9</v>
      </c>
      <c r="L7" s="13">
        <f t="shared" si="5"/>
        <v>4.9749999999999996</v>
      </c>
      <c r="M7">
        <v>100</v>
      </c>
      <c r="N7" s="31">
        <v>9.9499999999999993</v>
      </c>
      <c r="O7" s="7" t="s">
        <v>28</v>
      </c>
      <c r="P7">
        <v>15</v>
      </c>
      <c r="Q7" t="s">
        <v>9</v>
      </c>
      <c r="R7" s="13">
        <f t="shared" si="6"/>
        <v>0.74250000000000005</v>
      </c>
      <c r="S7">
        <v>100</v>
      </c>
      <c r="T7" s="14">
        <v>4.95</v>
      </c>
      <c r="U7" s="7" t="s">
        <v>28</v>
      </c>
      <c r="V7">
        <v>5</v>
      </c>
      <c r="W7" t="s">
        <v>9</v>
      </c>
      <c r="X7" s="13">
        <f t="shared" si="3"/>
        <v>0.24750000000000003</v>
      </c>
      <c r="Y7">
        <v>100</v>
      </c>
      <c r="Z7" s="14">
        <v>4.95</v>
      </c>
      <c r="AA7" s="7" t="s">
        <v>28</v>
      </c>
      <c r="AB7">
        <v>20</v>
      </c>
      <c r="AC7" t="s">
        <v>9</v>
      </c>
      <c r="AD7" s="13">
        <f t="shared" si="4"/>
        <v>0.9900000000000001</v>
      </c>
      <c r="AE7">
        <v>100</v>
      </c>
      <c r="AF7" s="14">
        <v>4.95</v>
      </c>
    </row>
    <row r="8" spans="3:32" x14ac:dyDescent="0.3">
      <c r="C8" s="7" t="s">
        <v>53</v>
      </c>
      <c r="D8">
        <v>50</v>
      </c>
      <c r="E8" t="s">
        <v>9</v>
      </c>
      <c r="F8" s="13">
        <f t="shared" si="0"/>
        <v>4.9749999999999996</v>
      </c>
      <c r="G8">
        <v>100</v>
      </c>
      <c r="H8" s="14">
        <v>9.9499999999999993</v>
      </c>
      <c r="I8" s="7" t="s">
        <v>53</v>
      </c>
      <c r="J8">
        <v>50</v>
      </c>
      <c r="K8" t="s">
        <v>9</v>
      </c>
      <c r="L8" s="13">
        <f t="shared" si="5"/>
        <v>4.9749999999999996</v>
      </c>
      <c r="M8">
        <v>100</v>
      </c>
      <c r="N8" s="31">
        <v>9.9499999999999993</v>
      </c>
      <c r="O8" s="7" t="s">
        <v>25</v>
      </c>
      <c r="P8">
        <v>2000</v>
      </c>
      <c r="Q8" t="s">
        <v>9</v>
      </c>
      <c r="R8" s="13">
        <f t="shared" si="6"/>
        <v>7.5</v>
      </c>
      <c r="S8">
        <v>1000</v>
      </c>
      <c r="T8" s="14">
        <v>3.75</v>
      </c>
      <c r="U8" s="7" t="s">
        <v>90</v>
      </c>
      <c r="V8">
        <v>15</v>
      </c>
      <c r="W8" t="s">
        <v>9</v>
      </c>
      <c r="X8" s="13">
        <f t="shared" si="3"/>
        <v>1.575</v>
      </c>
      <c r="Y8">
        <v>100</v>
      </c>
      <c r="Z8" s="14">
        <v>10.5</v>
      </c>
      <c r="AA8" s="7" t="s">
        <v>25</v>
      </c>
      <c r="AB8">
        <v>2000</v>
      </c>
      <c r="AC8" t="s">
        <v>9</v>
      </c>
      <c r="AD8" s="13">
        <f t="shared" si="4"/>
        <v>7.5</v>
      </c>
      <c r="AE8">
        <v>1000</v>
      </c>
      <c r="AF8" s="14">
        <v>3.75</v>
      </c>
    </row>
    <row r="9" spans="3:32" x14ac:dyDescent="0.3">
      <c r="C9" s="7" t="s">
        <v>3</v>
      </c>
      <c r="D9">
        <v>5000</v>
      </c>
      <c r="E9" t="s">
        <v>9</v>
      </c>
      <c r="F9" s="13">
        <f t="shared" si="0"/>
        <v>14.450000000000001</v>
      </c>
      <c r="G9">
        <v>1000</v>
      </c>
      <c r="H9" s="14">
        <v>2.89</v>
      </c>
      <c r="I9" s="7" t="s">
        <v>3</v>
      </c>
      <c r="J9">
        <v>3000</v>
      </c>
      <c r="K9" t="s">
        <v>9</v>
      </c>
      <c r="L9" s="13">
        <f t="shared" si="5"/>
        <v>8.67</v>
      </c>
      <c r="M9">
        <v>1000</v>
      </c>
      <c r="N9" s="31">
        <v>2.89</v>
      </c>
      <c r="O9" s="7" t="s">
        <v>26</v>
      </c>
      <c r="P9">
        <v>250</v>
      </c>
      <c r="Q9" t="s">
        <v>9</v>
      </c>
      <c r="R9" s="13">
        <f t="shared" si="6"/>
        <v>0.96250000000000002</v>
      </c>
      <c r="S9">
        <v>1000</v>
      </c>
      <c r="T9" s="14">
        <v>3.85</v>
      </c>
      <c r="U9" s="7" t="s">
        <v>116</v>
      </c>
      <c r="V9">
        <v>10</v>
      </c>
      <c r="W9" t="s">
        <v>9</v>
      </c>
      <c r="X9" s="13">
        <f t="shared" si="3"/>
        <v>0.39500000000000002</v>
      </c>
      <c r="Y9">
        <v>100</v>
      </c>
      <c r="Z9" s="14">
        <v>3.95</v>
      </c>
      <c r="AA9" s="7" t="s">
        <v>26</v>
      </c>
      <c r="AB9">
        <v>400</v>
      </c>
      <c r="AC9" t="s">
        <v>9</v>
      </c>
      <c r="AD9" s="13">
        <f t="shared" si="4"/>
        <v>1.54</v>
      </c>
      <c r="AE9">
        <v>1000</v>
      </c>
      <c r="AF9" s="14">
        <v>3.85</v>
      </c>
    </row>
    <row r="10" spans="3:32" x14ac:dyDescent="0.3">
      <c r="C10" s="7" t="s">
        <v>19</v>
      </c>
      <c r="D10">
        <v>1000</v>
      </c>
      <c r="E10" t="s">
        <v>9</v>
      </c>
      <c r="F10" s="13">
        <f t="shared" si="0"/>
        <v>2.95</v>
      </c>
      <c r="G10">
        <v>1000</v>
      </c>
      <c r="H10" s="15">
        <v>2.95</v>
      </c>
      <c r="I10" s="7" t="s">
        <v>19</v>
      </c>
      <c r="J10">
        <v>1000</v>
      </c>
      <c r="K10" t="s">
        <v>9</v>
      </c>
      <c r="L10" s="13">
        <f t="shared" si="5"/>
        <v>2.95</v>
      </c>
      <c r="M10">
        <v>1000</v>
      </c>
      <c r="N10" s="32">
        <v>2.95</v>
      </c>
      <c r="O10" s="7" t="s">
        <v>27</v>
      </c>
      <c r="P10">
        <v>125</v>
      </c>
      <c r="Q10" t="s">
        <v>9</v>
      </c>
      <c r="R10" s="13">
        <f t="shared" si="6"/>
        <v>0.52500000000000002</v>
      </c>
      <c r="S10">
        <v>250</v>
      </c>
      <c r="T10" s="15">
        <v>1.05</v>
      </c>
      <c r="U10" s="7" t="s">
        <v>122</v>
      </c>
      <c r="V10">
        <v>2000</v>
      </c>
      <c r="W10" t="s">
        <v>9</v>
      </c>
      <c r="X10" s="13">
        <f t="shared" si="3"/>
        <v>7.5</v>
      </c>
      <c r="Y10">
        <v>1000</v>
      </c>
      <c r="Z10" s="15">
        <v>3.75</v>
      </c>
      <c r="AA10" s="7" t="s">
        <v>27</v>
      </c>
      <c r="AB10">
        <v>125</v>
      </c>
      <c r="AC10" t="s">
        <v>9</v>
      </c>
      <c r="AD10" s="13">
        <f t="shared" si="4"/>
        <v>0.52500000000000002</v>
      </c>
      <c r="AE10">
        <v>250</v>
      </c>
      <c r="AF10" s="15">
        <v>1.05</v>
      </c>
    </row>
    <row r="11" spans="3:32" x14ac:dyDescent="0.3">
      <c r="C11" s="7" t="s">
        <v>4</v>
      </c>
      <c r="D11">
        <v>1</v>
      </c>
      <c r="E11" t="s">
        <v>10</v>
      </c>
      <c r="F11" s="13">
        <f t="shared" si="0"/>
        <v>13.99</v>
      </c>
      <c r="G11">
        <v>1</v>
      </c>
      <c r="H11" s="14">
        <v>13.99</v>
      </c>
      <c r="I11" s="7" t="s">
        <v>4</v>
      </c>
      <c r="J11">
        <v>1</v>
      </c>
      <c r="K11" t="s">
        <v>10</v>
      </c>
      <c r="L11" s="13">
        <f t="shared" si="5"/>
        <v>2.95</v>
      </c>
      <c r="M11">
        <v>1</v>
      </c>
      <c r="N11" s="31">
        <v>2.95</v>
      </c>
      <c r="O11" s="7" t="s">
        <v>29</v>
      </c>
      <c r="P11">
        <v>1</v>
      </c>
      <c r="Q11" t="s">
        <v>10</v>
      </c>
      <c r="R11" s="13">
        <f t="shared" si="6"/>
        <v>2.95</v>
      </c>
      <c r="S11">
        <v>1</v>
      </c>
      <c r="T11" s="14">
        <v>2.95</v>
      </c>
      <c r="U11" s="7" t="s">
        <v>121</v>
      </c>
      <c r="V11">
        <v>1000</v>
      </c>
      <c r="W11" t="s">
        <v>9</v>
      </c>
      <c r="X11" s="13">
        <f t="shared" ref="X11:X16" si="7">V11/Y11*Z11</f>
        <v>3.29</v>
      </c>
      <c r="Y11">
        <v>1000</v>
      </c>
      <c r="Z11" s="15">
        <v>3.29</v>
      </c>
      <c r="AA11" s="7" t="s">
        <v>119</v>
      </c>
      <c r="AB11">
        <v>100</v>
      </c>
      <c r="AC11" t="s">
        <v>9</v>
      </c>
      <c r="AD11" s="13">
        <f t="shared" si="4"/>
        <v>0.29500000000000004</v>
      </c>
      <c r="AE11">
        <v>1000</v>
      </c>
      <c r="AF11" s="53">
        <v>2.95</v>
      </c>
    </row>
    <row r="12" spans="3:32" x14ac:dyDescent="0.3">
      <c r="C12" s="7" t="s">
        <v>2</v>
      </c>
      <c r="D12">
        <f>D4*3</f>
        <v>27</v>
      </c>
      <c r="E12" t="s">
        <v>11</v>
      </c>
      <c r="F12" s="13">
        <f t="shared" si="0"/>
        <v>1.1475</v>
      </c>
      <c r="G12">
        <v>100</v>
      </c>
      <c r="H12" s="14">
        <v>4.25</v>
      </c>
      <c r="I12" s="7" t="s">
        <v>2</v>
      </c>
      <c r="J12">
        <f>J4*3</f>
        <v>30</v>
      </c>
      <c r="K12" t="s">
        <v>11</v>
      </c>
      <c r="L12" s="13">
        <f t="shared" si="5"/>
        <v>1.2749999999999999</v>
      </c>
      <c r="M12">
        <v>100</v>
      </c>
      <c r="N12" s="31">
        <v>4.25</v>
      </c>
      <c r="O12" s="7" t="s">
        <v>2</v>
      </c>
      <c r="P12">
        <f>P4*3</f>
        <v>27</v>
      </c>
      <c r="Q12" t="s">
        <v>11</v>
      </c>
      <c r="R12" s="13">
        <f t="shared" si="6"/>
        <v>1.1475</v>
      </c>
      <c r="S12">
        <v>100</v>
      </c>
      <c r="T12" s="14">
        <v>4.25</v>
      </c>
      <c r="U12" s="7" t="s">
        <v>119</v>
      </c>
      <c r="V12">
        <v>500</v>
      </c>
      <c r="W12" t="s">
        <v>9</v>
      </c>
      <c r="X12" s="13">
        <f t="shared" si="7"/>
        <v>1.4750000000000001</v>
      </c>
      <c r="Y12">
        <v>1000</v>
      </c>
      <c r="Z12" s="15">
        <v>2.95</v>
      </c>
      <c r="AA12" s="7" t="s">
        <v>29</v>
      </c>
      <c r="AB12">
        <v>1</v>
      </c>
      <c r="AC12" t="s">
        <v>10</v>
      </c>
      <c r="AD12" s="13">
        <f>AB12/AE12*AF12</f>
        <v>2.95</v>
      </c>
      <c r="AE12">
        <v>1</v>
      </c>
      <c r="AF12" s="14">
        <v>2.95</v>
      </c>
    </row>
    <row r="13" spans="3:32" x14ac:dyDescent="0.3">
      <c r="C13" s="7" t="s">
        <v>12</v>
      </c>
      <c r="D13">
        <v>10</v>
      </c>
      <c r="E13" t="s">
        <v>20</v>
      </c>
      <c r="F13" s="13">
        <f t="shared" si="0"/>
        <v>0.69900000000000007</v>
      </c>
      <c r="G13">
        <v>100</v>
      </c>
      <c r="H13" s="14">
        <v>6.99</v>
      </c>
      <c r="I13" s="7" t="s">
        <v>12</v>
      </c>
      <c r="J13">
        <v>10</v>
      </c>
      <c r="K13" t="s">
        <v>20</v>
      </c>
      <c r="L13" s="13">
        <f t="shared" si="5"/>
        <v>0.69900000000000007</v>
      </c>
      <c r="M13">
        <v>100</v>
      </c>
      <c r="N13" s="31">
        <v>6.99</v>
      </c>
      <c r="O13" s="7" t="s">
        <v>12</v>
      </c>
      <c r="P13">
        <v>10</v>
      </c>
      <c r="Q13" t="s">
        <v>20</v>
      </c>
      <c r="R13" s="13">
        <f t="shared" si="6"/>
        <v>0.69900000000000007</v>
      </c>
      <c r="S13">
        <v>100</v>
      </c>
      <c r="T13" s="14">
        <v>6.99</v>
      </c>
      <c r="U13" s="7" t="s">
        <v>120</v>
      </c>
      <c r="V13">
        <v>1</v>
      </c>
      <c r="W13" t="s">
        <v>10</v>
      </c>
      <c r="X13" s="13">
        <f t="shared" si="7"/>
        <v>3.69</v>
      </c>
      <c r="Y13">
        <v>1</v>
      </c>
      <c r="Z13" s="14">
        <v>3.69</v>
      </c>
      <c r="AA13" s="7" t="s">
        <v>2</v>
      </c>
      <c r="AB13">
        <f>AB4*3</f>
        <v>27</v>
      </c>
      <c r="AC13" t="s">
        <v>11</v>
      </c>
      <c r="AD13" s="13">
        <f>AB13/AE13*AF13</f>
        <v>1.1475</v>
      </c>
      <c r="AE13">
        <v>100</v>
      </c>
      <c r="AF13" s="14">
        <v>4.25</v>
      </c>
    </row>
    <row r="14" spans="3:32" x14ac:dyDescent="0.3">
      <c r="C14" s="7" t="s">
        <v>54</v>
      </c>
      <c r="D14">
        <f>D4*3</f>
        <v>27</v>
      </c>
      <c r="E14" t="s">
        <v>11</v>
      </c>
      <c r="F14" s="13">
        <f t="shared" si="0"/>
        <v>2.4705000000000004</v>
      </c>
      <c r="G14">
        <v>60</v>
      </c>
      <c r="H14" s="15">
        <v>5.49</v>
      </c>
      <c r="I14" s="7" t="s">
        <v>54</v>
      </c>
      <c r="J14">
        <f>J4*3</f>
        <v>30</v>
      </c>
      <c r="K14" t="s">
        <v>11</v>
      </c>
      <c r="L14" s="13">
        <f t="shared" si="5"/>
        <v>2.7450000000000001</v>
      </c>
      <c r="M14">
        <v>60</v>
      </c>
      <c r="N14" s="32">
        <v>5.49</v>
      </c>
      <c r="O14" s="7" t="s">
        <v>54</v>
      </c>
      <c r="P14">
        <f>P4*3</f>
        <v>27</v>
      </c>
      <c r="Q14" t="s">
        <v>11</v>
      </c>
      <c r="R14" s="13">
        <f t="shared" si="6"/>
        <v>2.4705000000000004</v>
      </c>
      <c r="S14">
        <v>60</v>
      </c>
      <c r="T14" s="15">
        <v>5.49</v>
      </c>
      <c r="U14" s="7" t="s">
        <v>2</v>
      </c>
      <c r="V14">
        <f>V4*3</f>
        <v>24</v>
      </c>
      <c r="W14" t="s">
        <v>11</v>
      </c>
      <c r="X14" s="13">
        <f t="shared" si="7"/>
        <v>1.02</v>
      </c>
      <c r="Y14">
        <v>100</v>
      </c>
      <c r="Z14" s="14">
        <v>4.25</v>
      </c>
      <c r="AA14" s="7" t="s">
        <v>12</v>
      </c>
      <c r="AB14">
        <v>10</v>
      </c>
      <c r="AC14" t="s">
        <v>20</v>
      </c>
      <c r="AD14" s="13">
        <f>AB14/AE14*AF14</f>
        <v>0.69900000000000007</v>
      </c>
      <c r="AE14">
        <v>100</v>
      </c>
      <c r="AF14" s="14">
        <v>6.99</v>
      </c>
    </row>
    <row r="15" spans="3:32" x14ac:dyDescent="0.3">
      <c r="C15" s="16" t="s">
        <v>18</v>
      </c>
      <c r="D15" s="9"/>
      <c r="E15" s="9"/>
      <c r="F15" s="10">
        <v>6.95</v>
      </c>
      <c r="G15" s="9"/>
      <c r="H15" s="17"/>
      <c r="I15" s="16" t="s">
        <v>18</v>
      </c>
      <c r="J15" s="9"/>
      <c r="K15" s="9"/>
      <c r="L15" s="10">
        <v>6.95</v>
      </c>
      <c r="M15" s="9"/>
      <c r="N15" s="9"/>
      <c r="O15" s="16" t="s">
        <v>18</v>
      </c>
      <c r="P15" s="9"/>
      <c r="Q15" s="9"/>
      <c r="R15" s="10">
        <v>6.95</v>
      </c>
      <c r="S15" s="9"/>
      <c r="T15" s="17"/>
      <c r="U15" s="7" t="s">
        <v>12</v>
      </c>
      <c r="V15">
        <v>10</v>
      </c>
      <c r="W15" t="s">
        <v>20</v>
      </c>
      <c r="X15" s="13">
        <f t="shared" si="7"/>
        <v>0.69900000000000007</v>
      </c>
      <c r="Y15">
        <v>100</v>
      </c>
      <c r="Z15" s="14">
        <v>6.99</v>
      </c>
      <c r="AA15" s="7" t="s">
        <v>54</v>
      </c>
      <c r="AB15">
        <f>AB4*3</f>
        <v>27</v>
      </c>
      <c r="AC15" t="s">
        <v>11</v>
      </c>
      <c r="AD15" s="13">
        <f>AB15/AE15*AF15</f>
        <v>2.4705000000000004</v>
      </c>
      <c r="AE15">
        <v>60</v>
      </c>
      <c r="AF15" s="15">
        <v>5.49</v>
      </c>
    </row>
    <row r="16" spans="3:32" x14ac:dyDescent="0.3">
      <c r="C16" s="7" t="s">
        <v>6</v>
      </c>
      <c r="D16">
        <f>SUM(F4:F15)</f>
        <v>54.466000000000001</v>
      </c>
      <c r="H16" s="4"/>
      <c r="I16" s="7" t="s">
        <v>6</v>
      </c>
      <c r="J16">
        <f>SUM(L4:L15)</f>
        <v>38.048000000000002</v>
      </c>
      <c r="O16" s="7" t="s">
        <v>6</v>
      </c>
      <c r="P16">
        <f>SUM(R4:R15)</f>
        <v>25.806000000000004</v>
      </c>
      <c r="T16" s="4"/>
      <c r="U16" s="7" t="s">
        <v>54</v>
      </c>
      <c r="V16">
        <f>V4*3</f>
        <v>24</v>
      </c>
      <c r="W16" t="s">
        <v>11</v>
      </c>
      <c r="X16" s="13">
        <f t="shared" si="7"/>
        <v>2.1960000000000002</v>
      </c>
      <c r="Y16">
        <v>60</v>
      </c>
      <c r="Z16" s="15">
        <v>5.49</v>
      </c>
      <c r="AA16" s="16" t="s">
        <v>18</v>
      </c>
      <c r="AB16" s="9"/>
      <c r="AC16" s="9"/>
      <c r="AD16" s="10">
        <f>6.95/2</f>
        <v>3.4750000000000001</v>
      </c>
      <c r="AE16" s="9"/>
      <c r="AF16" s="17"/>
    </row>
    <row r="17" spans="3:32" ht="15" thickBot="1" x14ac:dyDescent="0.35">
      <c r="C17" s="18" t="s">
        <v>7</v>
      </c>
      <c r="D17" s="5">
        <f>D16/(D4*3)</f>
        <v>2.0172592592592591</v>
      </c>
      <c r="E17" s="5"/>
      <c r="F17" s="5"/>
      <c r="G17" s="5"/>
      <c r="H17" s="6"/>
      <c r="I17" s="18" t="s">
        <v>7</v>
      </c>
      <c r="J17" s="5">
        <f>J16/(J4*3)</f>
        <v>1.2682666666666667</v>
      </c>
      <c r="K17" s="5"/>
      <c r="L17" s="5"/>
      <c r="M17" s="5"/>
      <c r="N17" s="5"/>
      <c r="O17" s="18" t="s">
        <v>7</v>
      </c>
      <c r="P17" s="5">
        <f>P16/(P4*3)</f>
        <v>0.95577777777777795</v>
      </c>
      <c r="Q17" s="5"/>
      <c r="R17" s="5"/>
      <c r="S17" s="5"/>
      <c r="T17" s="6"/>
      <c r="U17" s="16" t="s">
        <v>18</v>
      </c>
      <c r="V17" s="9"/>
      <c r="W17" s="9"/>
      <c r="X17" s="10">
        <f>6.95/2</f>
        <v>3.4750000000000001</v>
      </c>
      <c r="Y17" s="9"/>
      <c r="Z17" s="17"/>
      <c r="AA17" s="7" t="s">
        <v>6</v>
      </c>
      <c r="AB17">
        <f>SUM(AD4:AD16)</f>
        <v>23.451000000000004</v>
      </c>
      <c r="AF17" s="4"/>
    </row>
    <row r="18" spans="3:32" ht="15" thickBot="1" x14ac:dyDescent="0.35">
      <c r="U18" s="7" t="s">
        <v>6</v>
      </c>
      <c r="V18">
        <f>SUM(X4:X17)</f>
        <v>27.421500000000005</v>
      </c>
      <c r="Z18" s="4"/>
      <c r="AA18" s="18" t="s">
        <v>7</v>
      </c>
      <c r="AB18" s="5">
        <f>AB17/(AB4*3)</f>
        <v>0.86855555555555575</v>
      </c>
      <c r="AC18" s="5"/>
      <c r="AD18" s="5"/>
      <c r="AE18" s="5"/>
      <c r="AF18" s="6"/>
    </row>
    <row r="19" spans="3:32" ht="15" thickBot="1" x14ac:dyDescent="0.35">
      <c r="U19" s="18" t="s">
        <v>7</v>
      </c>
      <c r="V19" s="5">
        <f>V18/(V4*3)</f>
        <v>1.1425625000000001</v>
      </c>
      <c r="W19" s="5"/>
      <c r="X19" s="5"/>
      <c r="Y19" s="5"/>
      <c r="Z19" s="6"/>
    </row>
    <row r="22" spans="3:32" ht="15" thickBot="1" x14ac:dyDescent="0.35">
      <c r="C22" s="37"/>
      <c r="D22" s="38"/>
      <c r="E22" s="38"/>
      <c r="F22" s="38"/>
      <c r="G22" s="38"/>
      <c r="H22" s="38"/>
      <c r="I22" s="39" t="s">
        <v>73</v>
      </c>
      <c r="J22" s="39" t="s">
        <v>74</v>
      </c>
      <c r="K22" s="38"/>
      <c r="L22" s="38"/>
      <c r="M22" s="38"/>
      <c r="N22" s="38"/>
      <c r="O22" s="39" t="s">
        <v>73</v>
      </c>
      <c r="P22" s="39" t="s">
        <v>74</v>
      </c>
      <c r="Q22" s="38"/>
      <c r="R22" s="38"/>
      <c r="S22" s="38"/>
      <c r="T22" s="40"/>
      <c r="U22" s="39" t="s">
        <v>73</v>
      </c>
      <c r="V22" s="39" t="s">
        <v>74</v>
      </c>
      <c r="W22" s="38"/>
      <c r="X22" s="38"/>
      <c r="Y22" s="38"/>
      <c r="Z22" s="40"/>
      <c r="AA22" s="19"/>
      <c r="AB22" s="19"/>
      <c r="AC22" s="19"/>
      <c r="AD22" s="19"/>
      <c r="AE22" s="19"/>
      <c r="AF22" s="19"/>
    </row>
    <row r="23" spans="3:32" x14ac:dyDescent="0.3">
      <c r="I23" s="7" t="s">
        <v>22</v>
      </c>
      <c r="J23" t="s">
        <v>76</v>
      </c>
      <c r="K23" t="s">
        <v>21</v>
      </c>
      <c r="M23" t="s">
        <v>32</v>
      </c>
      <c r="N23" s="4"/>
      <c r="O23" s="7" t="s">
        <v>49</v>
      </c>
      <c r="P23" t="s">
        <v>55</v>
      </c>
      <c r="T23" s="4"/>
    </row>
    <row r="24" spans="3:32" x14ac:dyDescent="0.3">
      <c r="I24" s="11" t="s">
        <v>0</v>
      </c>
      <c r="J24" s="8" t="s">
        <v>13</v>
      </c>
      <c r="K24" s="8" t="s">
        <v>15</v>
      </c>
      <c r="L24" s="8" t="s">
        <v>17</v>
      </c>
      <c r="M24" s="8" t="s">
        <v>16</v>
      </c>
      <c r="N24" s="12" t="s">
        <v>1</v>
      </c>
      <c r="O24" s="11" t="s">
        <v>0</v>
      </c>
      <c r="P24" s="8" t="s">
        <v>13</v>
      </c>
      <c r="Q24" s="8" t="s">
        <v>15</v>
      </c>
      <c r="R24" s="8" t="s">
        <v>17</v>
      </c>
      <c r="S24" s="8" t="s">
        <v>16</v>
      </c>
      <c r="T24" s="12" t="s">
        <v>1</v>
      </c>
    </row>
    <row r="25" spans="3:32" x14ac:dyDescent="0.3">
      <c r="I25" s="11" t="s">
        <v>8</v>
      </c>
      <c r="J25" s="8">
        <v>11</v>
      </c>
      <c r="K25" s="8" t="s">
        <v>14</v>
      </c>
      <c r="L25" s="8"/>
      <c r="M25" s="8"/>
      <c r="N25" s="12"/>
      <c r="O25" s="11" t="s">
        <v>8</v>
      </c>
      <c r="P25" s="8">
        <v>9</v>
      </c>
      <c r="Q25" s="8" t="s">
        <v>14</v>
      </c>
      <c r="R25" s="8"/>
      <c r="S25" s="8"/>
      <c r="T25" s="12"/>
    </row>
    <row r="26" spans="3:32" x14ac:dyDescent="0.3">
      <c r="I26" s="7" t="s">
        <v>77</v>
      </c>
      <c r="J26">
        <v>5</v>
      </c>
      <c r="K26" t="s">
        <v>78</v>
      </c>
      <c r="L26" s="13">
        <f t="shared" ref="L26" si="8">J26/M26*N26</f>
        <v>1.1000000000000001</v>
      </c>
      <c r="M26">
        <v>1</v>
      </c>
      <c r="N26" s="14">
        <v>0.22</v>
      </c>
      <c r="O26" s="7" t="s">
        <v>77</v>
      </c>
      <c r="P26">
        <v>5</v>
      </c>
      <c r="Q26" t="s">
        <v>78</v>
      </c>
      <c r="R26" s="13">
        <f t="shared" ref="R26" si="9">P26/S26*T26</f>
        <v>1.1000000000000001</v>
      </c>
      <c r="S26">
        <v>1</v>
      </c>
      <c r="T26" s="14">
        <v>0.22</v>
      </c>
    </row>
    <row r="27" spans="3:32" x14ac:dyDescent="0.3">
      <c r="I27" s="7" t="s">
        <v>5</v>
      </c>
      <c r="J27">
        <v>330</v>
      </c>
      <c r="K27" t="s">
        <v>14</v>
      </c>
      <c r="L27" s="13">
        <f t="shared" ref="L27:L36" si="10">J27/M27*N27</f>
        <v>0.75900000000000001</v>
      </c>
      <c r="M27">
        <v>1</v>
      </c>
      <c r="N27" s="4">
        <v>2.3E-3</v>
      </c>
      <c r="O27" s="7" t="s">
        <v>5</v>
      </c>
      <c r="P27">
        <v>330</v>
      </c>
      <c r="Q27" t="s">
        <v>14</v>
      </c>
      <c r="R27" s="13">
        <f t="shared" ref="R27:R32" si="11">P27/S27*T27</f>
        <v>0.75900000000000001</v>
      </c>
      <c r="S27">
        <v>1</v>
      </c>
      <c r="T27" s="4">
        <v>2.3E-3</v>
      </c>
    </row>
    <row r="28" spans="3:32" x14ac:dyDescent="0.3">
      <c r="I28" s="7" t="s">
        <v>35</v>
      </c>
      <c r="J28">
        <v>50</v>
      </c>
      <c r="K28" t="s">
        <v>9</v>
      </c>
      <c r="L28" s="13">
        <f t="shared" si="10"/>
        <v>2.75</v>
      </c>
      <c r="M28">
        <v>100</v>
      </c>
      <c r="N28" s="14">
        <v>5.5</v>
      </c>
      <c r="O28" s="7" t="s">
        <v>28</v>
      </c>
      <c r="P28">
        <v>20</v>
      </c>
      <c r="Q28" t="s">
        <v>9</v>
      </c>
      <c r="R28" s="13">
        <f t="shared" si="11"/>
        <v>0.9900000000000001</v>
      </c>
      <c r="S28">
        <v>100</v>
      </c>
      <c r="T28" s="14">
        <v>4.95</v>
      </c>
    </row>
    <row r="29" spans="3:32" x14ac:dyDescent="0.3">
      <c r="I29" s="7" t="s">
        <v>36</v>
      </c>
      <c r="J29">
        <v>50</v>
      </c>
      <c r="K29" t="s">
        <v>9</v>
      </c>
      <c r="L29" s="13">
        <f t="shared" si="10"/>
        <v>2.875</v>
      </c>
      <c r="M29">
        <v>100</v>
      </c>
      <c r="N29" s="14">
        <v>5.75</v>
      </c>
      <c r="O29" s="7" t="s">
        <v>25</v>
      </c>
      <c r="P29">
        <v>2000</v>
      </c>
      <c r="Q29" t="s">
        <v>9</v>
      </c>
      <c r="R29" s="13">
        <f t="shared" si="11"/>
        <v>7.5</v>
      </c>
      <c r="S29">
        <v>1000</v>
      </c>
      <c r="T29" s="14">
        <v>3.75</v>
      </c>
    </row>
    <row r="30" spans="3:32" x14ac:dyDescent="0.3">
      <c r="I30" s="7" t="s">
        <v>33</v>
      </c>
      <c r="J30">
        <v>2000</v>
      </c>
      <c r="K30" t="s">
        <v>9</v>
      </c>
      <c r="L30" s="13">
        <f t="shared" si="10"/>
        <v>4.5</v>
      </c>
      <c r="M30">
        <v>1000</v>
      </c>
      <c r="N30" s="14">
        <v>2.25</v>
      </c>
      <c r="O30" s="7" t="s">
        <v>26</v>
      </c>
      <c r="P30">
        <v>400</v>
      </c>
      <c r="Q30" t="s">
        <v>9</v>
      </c>
      <c r="R30" s="13">
        <f t="shared" si="11"/>
        <v>1.54</v>
      </c>
      <c r="S30">
        <v>1000</v>
      </c>
      <c r="T30" s="14">
        <v>3.85</v>
      </c>
    </row>
    <row r="31" spans="3:32" x14ac:dyDescent="0.3">
      <c r="I31" s="7" t="s">
        <v>34</v>
      </c>
      <c r="J31">
        <v>1000</v>
      </c>
      <c r="K31" t="s">
        <v>9</v>
      </c>
      <c r="L31" s="13">
        <f t="shared" si="10"/>
        <v>2.4900000000000002</v>
      </c>
      <c r="M31">
        <v>1000</v>
      </c>
      <c r="N31" s="15">
        <v>2.4900000000000002</v>
      </c>
      <c r="O31" s="7" t="s">
        <v>27</v>
      </c>
      <c r="P31">
        <v>125</v>
      </c>
      <c r="Q31" t="s">
        <v>9</v>
      </c>
      <c r="R31" s="13">
        <f t="shared" si="11"/>
        <v>0.52500000000000002</v>
      </c>
      <c r="S31">
        <v>250</v>
      </c>
      <c r="T31" s="15">
        <v>1.05</v>
      </c>
    </row>
    <row r="32" spans="3:32" x14ac:dyDescent="0.3">
      <c r="I32" s="7" t="s">
        <v>19</v>
      </c>
      <c r="J32">
        <v>1000</v>
      </c>
      <c r="K32" t="s">
        <v>9</v>
      </c>
      <c r="L32" s="13">
        <f t="shared" si="10"/>
        <v>2.95</v>
      </c>
      <c r="M32">
        <v>1000</v>
      </c>
      <c r="N32" s="15">
        <v>2.95</v>
      </c>
      <c r="O32" s="7" t="s">
        <v>123</v>
      </c>
      <c r="P32">
        <v>100</v>
      </c>
      <c r="Q32" t="s">
        <v>9</v>
      </c>
      <c r="R32" s="13">
        <f t="shared" si="11"/>
        <v>0.29500000000000004</v>
      </c>
      <c r="S32">
        <v>1000</v>
      </c>
      <c r="T32" s="15">
        <v>2.95</v>
      </c>
    </row>
    <row r="33" spans="9:20" x14ac:dyDescent="0.3">
      <c r="I33" s="7" t="s">
        <v>4</v>
      </c>
      <c r="J33">
        <v>1</v>
      </c>
      <c r="K33" t="s">
        <v>10</v>
      </c>
      <c r="L33" s="13">
        <f t="shared" si="10"/>
        <v>2.95</v>
      </c>
      <c r="M33">
        <v>1</v>
      </c>
      <c r="N33" s="14">
        <v>2.95</v>
      </c>
      <c r="O33" s="7" t="s">
        <v>124</v>
      </c>
      <c r="P33">
        <v>1</v>
      </c>
      <c r="Q33" t="s">
        <v>10</v>
      </c>
      <c r="R33" s="13">
        <f>P33/S33*T33</f>
        <v>2.95</v>
      </c>
      <c r="S33">
        <v>1</v>
      </c>
      <c r="T33" s="14">
        <v>2.95</v>
      </c>
    </row>
    <row r="34" spans="9:20" x14ac:dyDescent="0.3">
      <c r="I34" s="7" t="s">
        <v>37</v>
      </c>
      <c r="J34">
        <f>3.6*J35</f>
        <v>118.8</v>
      </c>
      <c r="K34" t="s">
        <v>9</v>
      </c>
      <c r="L34" s="13">
        <f t="shared" si="10"/>
        <v>0.12474</v>
      </c>
      <c r="M34">
        <v>1000</v>
      </c>
      <c r="N34" s="15">
        <v>1.05</v>
      </c>
      <c r="O34" s="7" t="s">
        <v>2</v>
      </c>
      <c r="P34">
        <f>P25*3</f>
        <v>27</v>
      </c>
      <c r="Q34" t="s">
        <v>11</v>
      </c>
      <c r="R34" s="13">
        <f>P34/S34*T34</f>
        <v>1.1475</v>
      </c>
      <c r="S34">
        <v>100</v>
      </c>
      <c r="T34" s="14">
        <v>4.25</v>
      </c>
    </row>
    <row r="35" spans="9:20" x14ac:dyDescent="0.3">
      <c r="I35" s="7" t="s">
        <v>2</v>
      </c>
      <c r="J35">
        <f>J25*3</f>
        <v>33</v>
      </c>
      <c r="K35" t="s">
        <v>11</v>
      </c>
      <c r="L35" s="13">
        <f t="shared" si="10"/>
        <v>1.4025000000000001</v>
      </c>
      <c r="M35">
        <v>100</v>
      </c>
      <c r="N35" s="14">
        <v>4.25</v>
      </c>
      <c r="O35" s="7" t="s">
        <v>12</v>
      </c>
      <c r="P35">
        <v>10</v>
      </c>
      <c r="Q35" t="s">
        <v>20</v>
      </c>
      <c r="R35" s="13">
        <f>P35/S35*T35</f>
        <v>0.69900000000000007</v>
      </c>
      <c r="S35">
        <v>100</v>
      </c>
      <c r="T35" s="14">
        <v>6.99</v>
      </c>
    </row>
    <row r="36" spans="9:20" x14ac:dyDescent="0.3">
      <c r="I36" s="7" t="s">
        <v>12</v>
      </c>
      <c r="J36">
        <v>10</v>
      </c>
      <c r="K36" t="s">
        <v>20</v>
      </c>
      <c r="L36" s="13">
        <f t="shared" si="10"/>
        <v>0.69900000000000007</v>
      </c>
      <c r="M36">
        <v>100</v>
      </c>
      <c r="N36" s="14">
        <v>6.99</v>
      </c>
      <c r="O36" s="7" t="s">
        <v>54</v>
      </c>
      <c r="P36">
        <f>P34</f>
        <v>27</v>
      </c>
      <c r="Q36" t="s">
        <v>11</v>
      </c>
      <c r="R36" s="13">
        <f>P36/S36*T36</f>
        <v>2.4705000000000004</v>
      </c>
      <c r="S36">
        <v>60</v>
      </c>
      <c r="T36" s="15">
        <v>5.49</v>
      </c>
    </row>
    <row r="37" spans="9:20" x14ac:dyDescent="0.3">
      <c r="I37" s="16" t="s">
        <v>18</v>
      </c>
      <c r="J37" s="9"/>
      <c r="K37" s="9"/>
      <c r="L37" s="10">
        <v>3.5</v>
      </c>
      <c r="M37" s="9"/>
      <c r="N37" s="17"/>
      <c r="O37" s="16" t="s">
        <v>18</v>
      </c>
      <c r="P37" s="9"/>
      <c r="Q37" s="9"/>
      <c r="R37" s="10">
        <v>3.48</v>
      </c>
      <c r="S37" s="9"/>
      <c r="T37" s="17"/>
    </row>
    <row r="38" spans="9:20" x14ac:dyDescent="0.3">
      <c r="I38" s="7" t="s">
        <v>6</v>
      </c>
      <c r="J38">
        <f>SUM(L25:L37)</f>
        <v>26.100239999999999</v>
      </c>
      <c r="N38" s="4"/>
      <c r="O38" s="7" t="s">
        <v>6</v>
      </c>
      <c r="P38">
        <f>SUM(R25:R37)</f>
        <v>23.456000000000003</v>
      </c>
      <c r="T38" s="4"/>
    </row>
    <row r="39" spans="9:20" ht="15" thickBot="1" x14ac:dyDescent="0.35">
      <c r="I39" s="18" t="s">
        <v>7</v>
      </c>
      <c r="J39" s="5">
        <f>J38/(J25*3)</f>
        <v>0.79091636363636364</v>
      </c>
      <c r="K39" s="5"/>
      <c r="L39" s="5"/>
      <c r="M39" s="5"/>
      <c r="N39" s="6"/>
      <c r="O39" s="18" t="s">
        <v>7</v>
      </c>
      <c r="P39" s="5">
        <f>P38/(P25*3)</f>
        <v>0.86874074074074081</v>
      </c>
      <c r="Q39" s="5"/>
      <c r="R39" s="5"/>
      <c r="S39" s="5"/>
      <c r="T39" s="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24E5-F5AF-44CB-881A-16DFEF1A1695}">
  <dimension ref="A1:H8"/>
  <sheetViews>
    <sheetView workbookViewId="0">
      <selection activeCell="E8" sqref="E8"/>
    </sheetView>
  </sheetViews>
  <sheetFormatPr defaultRowHeight="14.4" x14ac:dyDescent="0.3"/>
  <cols>
    <col min="1" max="1" width="10.88671875" bestFit="1" customWidth="1"/>
    <col min="2" max="2" width="7.109375" bestFit="1" customWidth="1"/>
    <col min="3" max="3" width="10.33203125" bestFit="1" customWidth="1"/>
    <col min="4" max="4" width="12.44140625" customWidth="1"/>
    <col min="5" max="5" width="10.33203125" bestFit="1" customWidth="1"/>
    <col min="6" max="6" width="16.33203125" customWidth="1"/>
    <col min="7" max="7" width="15.5546875" customWidth="1"/>
    <col min="8" max="8" width="66.5546875" customWidth="1"/>
  </cols>
  <sheetData>
    <row r="1" spans="1:8" x14ac:dyDescent="0.3">
      <c r="A1" t="s">
        <v>83</v>
      </c>
      <c r="B1" t="s">
        <v>39</v>
      </c>
      <c r="C1" t="s">
        <v>84</v>
      </c>
      <c r="D1" t="s">
        <v>85</v>
      </c>
      <c r="E1" t="s">
        <v>86</v>
      </c>
      <c r="F1" t="s">
        <v>89</v>
      </c>
      <c r="G1" t="s">
        <v>87</v>
      </c>
      <c r="H1" t="s">
        <v>88</v>
      </c>
    </row>
    <row r="2" spans="1:8" x14ac:dyDescent="0.3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106</v>
      </c>
      <c r="G2">
        <v>10.5</v>
      </c>
      <c r="H2" t="s">
        <v>95</v>
      </c>
    </row>
    <row r="3" spans="1:8" x14ac:dyDescent="0.3">
      <c r="A3" t="s">
        <v>96</v>
      </c>
      <c r="B3" t="s">
        <v>97</v>
      </c>
      <c r="C3" t="s">
        <v>102</v>
      </c>
      <c r="D3" t="s">
        <v>92</v>
      </c>
      <c r="E3" t="s">
        <v>98</v>
      </c>
      <c r="F3" t="s">
        <v>106</v>
      </c>
      <c r="G3">
        <v>5.95</v>
      </c>
      <c r="H3" t="s">
        <v>99</v>
      </c>
    </row>
    <row r="4" spans="1:8" x14ac:dyDescent="0.3">
      <c r="A4" t="s">
        <v>100</v>
      </c>
      <c r="B4" t="s">
        <v>101</v>
      </c>
      <c r="C4" t="s">
        <v>103</v>
      </c>
      <c r="D4" t="s">
        <v>104</v>
      </c>
      <c r="E4" t="s">
        <v>105</v>
      </c>
      <c r="F4" t="s">
        <v>107</v>
      </c>
    </row>
    <row r="5" spans="1:8" x14ac:dyDescent="0.3">
      <c r="A5" t="s">
        <v>52</v>
      </c>
      <c r="B5" t="s">
        <v>97</v>
      </c>
      <c r="C5" t="s">
        <v>92</v>
      </c>
      <c r="D5" t="s">
        <v>109</v>
      </c>
      <c r="E5" t="s">
        <v>110</v>
      </c>
      <c r="F5" t="s">
        <v>108</v>
      </c>
    </row>
    <row r="6" spans="1:8" x14ac:dyDescent="0.3">
      <c r="A6" t="s">
        <v>53</v>
      </c>
      <c r="B6" t="s">
        <v>97</v>
      </c>
      <c r="C6" t="s">
        <v>111</v>
      </c>
      <c r="D6" t="s">
        <v>93</v>
      </c>
      <c r="E6" t="s">
        <v>92</v>
      </c>
      <c r="F6" t="s">
        <v>108</v>
      </c>
    </row>
    <row r="7" spans="1:8" x14ac:dyDescent="0.3">
      <c r="A7" t="s">
        <v>112</v>
      </c>
      <c r="B7" t="s">
        <v>97</v>
      </c>
      <c r="C7" t="s">
        <v>113</v>
      </c>
      <c r="D7" t="s">
        <v>114</v>
      </c>
      <c r="E7" t="s">
        <v>115</v>
      </c>
      <c r="F7" t="s">
        <v>108</v>
      </c>
    </row>
    <row r="8" spans="1:8" x14ac:dyDescent="0.3">
      <c r="A8" t="s">
        <v>116</v>
      </c>
      <c r="B8" t="s">
        <v>91</v>
      </c>
      <c r="C8" t="s">
        <v>110</v>
      </c>
      <c r="D8" t="s">
        <v>117</v>
      </c>
      <c r="F8" t="s">
        <v>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1EA6-7CA3-4DCC-B9EC-D946B006CC33}">
  <sheetPr codeName="Blad4"/>
  <dimension ref="D1:H9"/>
  <sheetViews>
    <sheetView zoomScale="128" workbookViewId="0">
      <selection activeCell="K7" sqref="K7"/>
    </sheetView>
  </sheetViews>
  <sheetFormatPr defaultRowHeight="14.4" x14ac:dyDescent="0.3"/>
  <cols>
    <col min="1" max="1" width="13.77734375" customWidth="1"/>
    <col min="5" max="5" width="21.21875" customWidth="1"/>
    <col min="7" max="7" width="21.6640625" customWidth="1"/>
    <col min="8" max="8" width="10.77734375" customWidth="1"/>
  </cols>
  <sheetData>
    <row r="1" spans="4:8" x14ac:dyDescent="0.3">
      <c r="E1" s="46" t="s">
        <v>68</v>
      </c>
      <c r="F1" s="47"/>
      <c r="G1" s="47"/>
      <c r="H1" s="48"/>
    </row>
    <row r="2" spans="4:8" x14ac:dyDescent="0.3">
      <c r="E2" s="26" t="s">
        <v>62</v>
      </c>
      <c r="F2" s="25">
        <v>4</v>
      </c>
      <c r="G2" s="45"/>
      <c r="H2" s="49"/>
    </row>
    <row r="3" spans="4:8" x14ac:dyDescent="0.3">
      <c r="E3" s="26" t="s">
        <v>72</v>
      </c>
      <c r="F3" s="25">
        <v>3</v>
      </c>
      <c r="G3" s="45"/>
      <c r="H3" s="49"/>
    </row>
    <row r="4" spans="4:8" x14ac:dyDescent="0.3">
      <c r="D4" s="24">
        <v>250</v>
      </c>
      <c r="E4" s="26" t="s">
        <v>63</v>
      </c>
      <c r="F4" s="25">
        <v>2</v>
      </c>
      <c r="G4" s="45"/>
      <c r="H4" s="49"/>
    </row>
    <row r="5" spans="4:8" x14ac:dyDescent="0.3">
      <c r="E5" s="26" t="s">
        <v>64</v>
      </c>
      <c r="F5" s="27">
        <f>D4/100</f>
        <v>2.5</v>
      </c>
      <c r="G5" s="45"/>
      <c r="H5" s="49"/>
    </row>
    <row r="6" spans="4:8" x14ac:dyDescent="0.3">
      <c r="E6" s="26" t="s">
        <v>65</v>
      </c>
      <c r="F6" s="27">
        <f>GETPIVOTDATA("Kosten Fles",Dashboard!$A$10)</f>
        <v>1.1425625000000001</v>
      </c>
      <c r="G6" s="44" t="s">
        <v>66</v>
      </c>
      <c r="H6" s="43">
        <f>(F5-F6)</f>
        <v>1.3574374999999999</v>
      </c>
    </row>
    <row r="7" spans="4:8" x14ac:dyDescent="0.3">
      <c r="E7" s="26" t="s">
        <v>69</v>
      </c>
      <c r="F7" s="29">
        <f>H6/F6</f>
        <v>1.1880641102784308</v>
      </c>
      <c r="G7" s="44" t="s">
        <v>67</v>
      </c>
      <c r="H7" s="50">
        <f>H6*F3*F2*F4</f>
        <v>32.578499999999998</v>
      </c>
    </row>
    <row r="8" spans="4:8" x14ac:dyDescent="0.3">
      <c r="E8" s="26" t="s">
        <v>80</v>
      </c>
      <c r="F8" s="25">
        <f>3*9*F3-F2*F3*F4</f>
        <v>57</v>
      </c>
      <c r="G8" s="44" t="s">
        <v>70</v>
      </c>
      <c r="H8" s="41">
        <f>27*F6*F3</f>
        <v>92.547562500000012</v>
      </c>
    </row>
    <row r="9" spans="4:8" ht="15" thickBot="1" x14ac:dyDescent="0.35">
      <c r="E9" s="28" t="s">
        <v>79</v>
      </c>
      <c r="F9" s="52">
        <f>F5*F4*F3*F2</f>
        <v>60</v>
      </c>
      <c r="G9" s="51" t="s">
        <v>71</v>
      </c>
      <c r="H9" s="42">
        <f>F5*F4*F3*F2/H8</f>
        <v>0.64831529193434989</v>
      </c>
    </row>
  </sheetData>
  <conditionalFormatting sqref="F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{F8F31C25-50B2-4060-B73E-C40ECEAFE8C5}</x14:id>
        </ext>
      </extLst>
    </cfRule>
  </conditionalFormatting>
  <conditionalFormatting sqref="H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{B044EEA2-EA92-4B08-99A7-57F4C418C659}</x14:id>
        </ext>
      </extLst>
    </cfRule>
  </conditionalFormatting>
  <conditionalFormatting sqref="H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{D15865D8-E70D-400E-B40A-60C88945B8D8}</x14:id>
        </ext>
      </extLst>
    </cfRule>
  </conditionalFormatting>
  <conditionalFormatting sqref="H9">
    <cfRule type="colorScale" priority="2">
      <colorScale>
        <cfvo type="num" val="0"/>
        <cfvo type="num" val="1"/>
        <color rgb="FFB7EFAF"/>
        <color rgb="FF00B050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croll Bar 3">
              <controlPr defaultSize="0" autoPict="0">
                <anchor moveWithCells="1">
                  <from>
                    <xdr:col>6</xdr:col>
                    <xdr:colOff>0</xdr:colOff>
                    <xdr:row>4</xdr:row>
                    <xdr:rowOff>7620</xdr:rowOff>
                  </from>
                  <to>
                    <xdr:col>7</xdr:col>
                    <xdr:colOff>723900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4" name="Scroll Bar 7">
              <controlPr defaultSize="0" autoPict="0">
                <anchor moveWithCells="1">
                  <from>
                    <xdr:col>5</xdr:col>
                    <xdr:colOff>609600</xdr:colOff>
                    <xdr:row>2</xdr:row>
                    <xdr:rowOff>15240</xdr:rowOff>
                  </from>
                  <to>
                    <xdr:col>7</xdr:col>
                    <xdr:colOff>723900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5" name="Spinner 8">
              <controlPr defaultSize="0" autoPict="0">
                <anchor moveWithCells="1" sizeWithCells="1">
                  <from>
                    <xdr:col>6</xdr:col>
                    <xdr:colOff>7620</xdr:colOff>
                    <xdr:row>1</xdr:row>
                    <xdr:rowOff>22860</xdr:rowOff>
                  </from>
                  <to>
                    <xdr:col>7</xdr:col>
                    <xdr:colOff>731520</xdr:colOff>
                    <xdr:row>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6" name="Spinner 10">
              <controlPr defaultSize="0" autoPict="0">
                <anchor moveWithCells="1" sizeWithCells="1">
                  <from>
                    <xdr:col>6</xdr:col>
                    <xdr:colOff>7620</xdr:colOff>
                    <xdr:row>3</xdr:row>
                    <xdr:rowOff>7620</xdr:rowOff>
                  </from>
                  <to>
                    <xdr:col>7</xdr:col>
                    <xdr:colOff>723900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F31C25-50B2-4060-B73E-C40ECEAFE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B044EEA2-EA92-4B08-99A7-57F4C418C6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D15865D8-E70D-400E-B40A-60C88945B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Dashboard</vt:lpstr>
      <vt:lpstr>Brouwhistorie</vt:lpstr>
      <vt:lpstr>Brouwgegevens</vt:lpstr>
      <vt:lpstr>Hoplijst</vt:lpstr>
      <vt:lpstr>Subscription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van der Haar</dc:creator>
  <cp:lastModifiedBy>Daan van der Haar</cp:lastModifiedBy>
  <dcterms:created xsi:type="dcterms:W3CDTF">2025-06-10T13:52:38Z</dcterms:created>
  <dcterms:modified xsi:type="dcterms:W3CDTF">2026-03-12T13:14:35Z</dcterms:modified>
</cp:coreProperties>
</file>